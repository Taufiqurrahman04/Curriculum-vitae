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_PDI\VBA_Project\ReportFile\Prod\"/>
    </mc:Choice>
  </mc:AlternateContent>
  <xr:revisionPtr revIDLastSave="0" documentId="13_ncr:1_{59F64018-AF23-4586-A76B-634D6D9F57B8}" xr6:coauthVersionLast="45" xr6:coauthVersionMax="45" xr10:uidLastSave="{00000000-0000-0000-0000-000000000000}"/>
  <bookViews>
    <workbookView xWindow="-120" yWindow="-120" windowWidth="20730" windowHeight="11310" xr2:uid="{42D779E4-6F80-4862-A8FB-EAC3E5A62AEE}"/>
  </bookViews>
  <sheets>
    <sheet name="Yearly_Report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4" i="1" l="1"/>
  <c r="C25" i="1" l="1"/>
  <c r="C23" i="1"/>
  <c r="G25" i="1"/>
  <c r="G24" i="1"/>
  <c r="G23" i="1"/>
  <c r="L23" i="1"/>
  <c r="L25" i="1"/>
  <c r="L24" i="1"/>
  <c r="F25" i="1"/>
  <c r="F24" i="1"/>
  <c r="F23" i="1"/>
  <c r="K25" i="1"/>
  <c r="K24" i="1"/>
  <c r="K23" i="1"/>
  <c r="E24" i="1"/>
  <c r="E23" i="1"/>
  <c r="E25" i="1"/>
  <c r="J25" i="1"/>
  <c r="J24" i="1"/>
  <c r="J23" i="1"/>
  <c r="D23" i="1"/>
  <c r="D25" i="1"/>
  <c r="D24" i="1"/>
  <c r="I24" i="1"/>
  <c r="I23" i="1"/>
  <c r="I25" i="1"/>
  <c r="H23" i="1"/>
  <c r="H25" i="1"/>
  <c r="H24" i="1"/>
  <c r="B24" i="1"/>
  <c r="B23" i="1"/>
  <c r="B25" i="1"/>
</calcChain>
</file>

<file path=xl/sharedStrings.xml><?xml version="1.0" encoding="utf-8"?>
<sst xmlns="http://schemas.openxmlformats.org/spreadsheetml/2006/main" count="51" uniqueCount="44">
  <si>
    <t>Tahun</t>
  </si>
  <si>
    <t xml:space="preserve">Validity criterion :  </t>
  </si>
  <si>
    <t>HRSG 1.3</t>
  </si>
  <si>
    <t>CO2-L3</t>
  </si>
  <si>
    <t>CO-L3</t>
  </si>
  <si>
    <t>SO2-L3</t>
  </si>
  <si>
    <t>NO-L3</t>
  </si>
  <si>
    <t>NOx-L3</t>
  </si>
  <si>
    <t>NO2-L3</t>
  </si>
  <si>
    <t>Opacity-L3</t>
  </si>
  <si>
    <t>Dust- L3</t>
  </si>
  <si>
    <t>Flow Rate-L3</t>
  </si>
  <si>
    <t>Velocity-L3</t>
  </si>
  <si>
    <t>O2 - L3</t>
  </si>
  <si>
    <t>Bulan</t>
  </si>
  <si>
    <t>%</t>
  </si>
  <si>
    <t>mg/m3</t>
  </si>
  <si>
    <t>KNm3/h</t>
  </si>
  <si>
    <t>m/s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</si>
  <si>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</si>
  <si>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</si>
  <si>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</si>
  <si>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</si>
  <si>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</si>
  <si>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</si>
  <si>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</si>
  <si>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</si>
  <si>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</si>
  <si>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</si>
  <si>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</si>
  <si>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</si>
  <si>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Max.</t>
  </si>
  <si>
    <t>Min.</t>
  </si>
  <si>
    <t>Ave.</t>
  </si>
  <si>
    <t/>
  </si>
  <si>
    <t>BEKASI, .........................................................................</t>
  </si>
  <si>
    <t xml:space="preserve">PT PEMBANGKITAN JAWA BALI UP MUARA TAWAR </t>
  </si>
  <si>
    <t>INTEGRATED MANAGEMENT SYSTEM</t>
  </si>
  <si>
    <t>FORMULIR</t>
  </si>
  <si>
    <t>DATA PEMANTAUAN EMISI CEMS HRSG 1.1</t>
  </si>
  <si>
    <t>No. Dokumen :</t>
  </si>
  <si>
    <t>Tanggal :</t>
  </si>
  <si>
    <t>Halaman :</t>
  </si>
  <si>
    <t>Revisi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</si>
</sst>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0%"/>
    <numFmt numFmtId="165" formatCode="####0.00"/>
    <numFmt numFmtId="166" formatCode=";;;"/>
  </numFmts>
  <fonts count="10" x14ac:knownFonts="1">
    <font>
      <sz val="11"/>
      <color theme="1"/>
      <name val="Calibri"/>
      <family val="2"/>
      <charset val="1"/>
      <scheme val="minor"/>
    </font>
    <font>
      <b/>
      <sz val="8"/>
      <color indexed="8"/>
      <name val="MS Sans Serif"/>
      <family val="2"/>
      <charset val="1"/>
    </font>
    <font>
      <b/>
      <sz val="8"/>
      <color indexed="8"/>
      <name val="Segoe UI"/>
      <family val="2"/>
    </font>
    <font>
      <sz val="11"/>
      <color theme="1"/>
      <name val="Segoe UI"/>
      <family val="2"/>
    </font>
    <font>
      <sz val="8"/>
      <color indexed="8"/>
      <name val="Segoe UI"/>
      <family val="2"/>
    </font>
    <font>
      <b/>
      <sz val="12"/>
      <color indexed="8"/>
      <name val="Segoe UI"/>
      <family val="2"/>
    </font>
    <font>
      <sz val="10"/>
      <color indexed="8"/>
      <name val="Segoe UI"/>
      <family val="2"/>
    </font>
    <font>
      <b/>
      <sz val="11"/>
      <color theme="0" tint="-4.9989318521683403E-2"/>
      <name val="Microsoft PhagsPa"/>
      <family val="2"/>
    </font>
    <font>
      <b/>
      <sz val="10"/>
      <color theme="1"/>
      <name val="Calibri"/>
      <family val="2"/>
      <scheme val="minor"/>
    </font>
    <font>
      <b/>
      <sz val="8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8"/>
        <bgColor indexed="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right"/>
    </xf>
    <xf numFmtId="166" fontId="0" fillId="0" borderId="0" xfId="0" applyNumberFormat="1"/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right"/>
    </xf>
    <xf numFmtId="164" fontId="4" fillId="0" borderId="1" xfId="0" applyNumberFormat="1" applyFont="1" applyBorder="1"/>
    <xf numFmtId="0" fontId="3" fillId="2" borderId="0" xfId="0" applyFont="1" applyFill="1"/>
    <xf numFmtId="0" fontId="4" fillId="3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0" borderId="4" xfId="0" applyNumberFormat="1" applyFont="1" applyBorder="1" applyAlignment="1">
      <alignment horizontal="right"/>
    </xf>
    <xf numFmtId="165" fontId="4" fillId="0" borderId="4" xfId="0" applyNumberFormat="1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165" fontId="6" fillId="0" borderId="5" xfId="0" applyNumberFormat="1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165" fontId="6" fillId="0" borderId="4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0" fontId="4" fillId="0" borderId="24" xfId="0" applyNumberFormat="1" applyFont="1" applyBorder="1" applyAlignment="1">
      <alignment horizontal="right"/>
    </xf>
    <xf numFmtId="165" fontId="4" fillId="0" borderId="24" xfId="0" applyNumberFormat="1" applyFont="1" applyBorder="1" applyAlignment="1">
      <alignment horizontal="right"/>
    </xf>
    <xf numFmtId="0" fontId="0" fillId="6" borderId="11" xfId="0" applyFill="1" applyBorder="1"/>
    <xf numFmtId="0" fontId="0" fillId="6" borderId="17" xfId="0" applyFill="1" applyBorder="1"/>
    <xf numFmtId="0" fontId="0" fillId="6" borderId="23" xfId="0" applyFill="1" applyBorder="1"/>
    <xf numFmtId="0" fontId="9" fillId="0" borderId="1" xfId="0" applyFont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0" borderId="0" xfId="0" applyFont="1" applyAlignment="1">
      <alignment shrinkToFit="1"/>
    </xf>
    <xf numFmtId="0" fontId="3" fillId="0" borderId="0" xfId="0" applyFont="1"/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left"/>
    </xf>
    <xf numFmtId="0" fontId="8" fillId="5" borderId="10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8" fillId="0" borderId="16" xfId="0" applyFont="1" applyBorder="1" applyAlignment="1">
      <alignment horizontal="left"/>
    </xf>
    <xf numFmtId="0" fontId="7" fillId="4" borderId="20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8" fillId="0" borderId="22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15</xdr:col>
          <xdr:colOff>0</xdr:colOff>
          <xdr:row>6</xdr:row>
          <xdr:rowOff>200025</xdr:rowOff>
        </xdr:to>
        <xdr:sp macro="" textlink="">
          <xdr:nvSpPr>
            <xdr:cNvPr id="1027" name="Report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85725</xdr:rowOff>
        </xdr:from>
        <xdr:to>
          <xdr:col>14</xdr:col>
          <xdr:colOff>600075</xdr:colOff>
          <xdr:row>3</xdr:row>
          <xdr:rowOff>142875</xdr:rowOff>
        </xdr:to>
        <xdr:sp macro="" textlink="">
          <xdr:nvSpPr>
            <xdr:cNvPr id="1028" name="PDFYCheck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</xdr:row>
          <xdr:rowOff>152400</xdr:rowOff>
        </xdr:from>
        <xdr:to>
          <xdr:col>14</xdr:col>
          <xdr:colOff>600075</xdr:colOff>
          <xdr:row>5</xdr:row>
          <xdr:rowOff>9525</xdr:rowOff>
        </xdr:to>
        <xdr:sp macro="" textlink="">
          <xdr:nvSpPr>
            <xdr:cNvPr id="1029" name="XLSXYCheckBox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</xdr:col>
      <xdr:colOff>454</xdr:colOff>
      <xdr:row>4</xdr:row>
      <xdr:rowOff>19050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r="81153" b="1175"/>
        <a:stretch/>
      </xdr:blipFill>
      <xdr:spPr bwMode="auto">
        <a:xfrm>
          <a:off x="0" y="0"/>
          <a:ext cx="1172029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E47BE-F47C-48F5-8248-20F53462DDD4}">
  <sheetPr codeName="Sheet1">
    <pageSetUpPr fitToPage="1"/>
  </sheetPr>
  <dimension ref="A1:M27"/>
  <sheetViews>
    <sheetView tabSelected="1" workbookViewId="0">
      <selection activeCell="E6" sqref="E6:G6"/>
    </sheetView>
  </sheetViews>
  <sheetFormatPr defaultRowHeight="15" x14ac:dyDescent="0.25"/>
  <cols>
    <col min="1" max="1" width="8.5703125" customWidth="1"/>
    <col min="2" max="12" width="8.42578125" customWidth="1"/>
    <col min="13" max="13" width="9.140625" style="4" customWidth="1"/>
  </cols>
  <sheetData>
    <row r="1" spans="1:12" s="5" customFormat="1" ht="17.25" thickTop="1" x14ac:dyDescent="0.3">
      <c r="A1" s="23"/>
      <c r="B1" s="24"/>
      <c r="C1" s="37" t="s">
        <v>36</v>
      </c>
      <c r="D1" s="38"/>
      <c r="E1" s="38"/>
      <c r="F1" s="38"/>
      <c r="G1" s="38"/>
      <c r="H1" s="38"/>
      <c r="I1" s="39"/>
      <c r="J1" s="40" t="s">
        <v>40</v>
      </c>
      <c r="K1" s="41"/>
      <c r="L1" s="30"/>
    </row>
    <row r="2" spans="1:12" s="5" customFormat="1" ht="16.5" x14ac:dyDescent="0.3">
      <c r="A2" s="25"/>
      <c r="C2" s="42" t="s">
        <v>37</v>
      </c>
      <c r="D2" s="43"/>
      <c r="E2" s="43"/>
      <c r="F2" s="43"/>
      <c r="G2" s="43"/>
      <c r="H2" s="43"/>
      <c r="I2" s="44"/>
      <c r="J2" s="45" t="s">
        <v>43</v>
      </c>
      <c r="K2" s="45"/>
      <c r="L2" s="31"/>
    </row>
    <row r="3" spans="1:12" s="5" customFormat="1" ht="16.5" x14ac:dyDescent="0.3">
      <c r="A3" s="25"/>
      <c r="C3" s="42" t="s">
        <v>38</v>
      </c>
      <c r="D3" s="43"/>
      <c r="E3" s="43"/>
      <c r="F3" s="43"/>
      <c r="G3" s="43"/>
      <c r="H3" s="43"/>
      <c r="I3" s="44"/>
      <c r="J3" s="45" t="s">
        <v>41</v>
      </c>
      <c r="K3" s="45"/>
      <c r="L3" s="31"/>
    </row>
    <row r="4" spans="1:12" s="5" customFormat="1" ht="17.25" thickBot="1" x14ac:dyDescent="0.35">
      <c r="A4" s="26"/>
      <c r="B4" s="27"/>
      <c r="C4" s="46" t="s">
        <v>39</v>
      </c>
      <c r="D4" s="47"/>
      <c r="E4" s="47"/>
      <c r="F4" s="47"/>
      <c r="G4" s="47"/>
      <c r="H4" s="47"/>
      <c r="I4" s="47"/>
      <c r="J4" s="48" t="s">
        <v>42</v>
      </c>
      <c r="K4" s="48"/>
      <c r="L4" s="32"/>
    </row>
    <row r="5" spans="1:12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2" ht="16.5" x14ac:dyDescent="0.3">
      <c r="A6" s="6"/>
      <c r="B6" s="7"/>
      <c r="C6" s="33" t="s">
        <v>0</v>
      </c>
      <c r="D6" s="33"/>
      <c r="E6" s="34"/>
      <c r="F6" s="34"/>
      <c r="G6" s="34"/>
      <c r="H6" s="7"/>
      <c r="I6" s="7"/>
      <c r="J6" s="7"/>
      <c r="K6" s="8" t="s">
        <v>1</v>
      </c>
      <c r="L6" s="9">
        <v>0.95</v>
      </c>
    </row>
    <row r="7" spans="1:12" ht="16.5" x14ac:dyDescent="0.3">
      <c r="A7" s="10"/>
      <c r="B7" s="11" t="s">
        <v>2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 ht="17.25" x14ac:dyDescent="0.3">
      <c r="A8" s="12"/>
      <c r="B8" s="12">
        <v>1</v>
      </c>
      <c r="C8" s="12">
        <v>2</v>
      </c>
      <c r="D8" s="12">
        <v>3</v>
      </c>
      <c r="E8" s="12">
        <v>4</v>
      </c>
      <c r="F8" s="12">
        <v>5</v>
      </c>
      <c r="G8" s="12">
        <v>6</v>
      </c>
      <c r="H8" s="12">
        <v>7</v>
      </c>
      <c r="I8" s="12">
        <v>8</v>
      </c>
      <c r="J8" s="12">
        <v>9</v>
      </c>
      <c r="K8" s="12">
        <v>10</v>
      </c>
      <c r="L8" s="12">
        <v>11</v>
      </c>
    </row>
    <row r="9" spans="1:12" ht="21" x14ac:dyDescent="0.25">
      <c r="A9" s="13"/>
      <c r="B9" s="13" t="s">
        <v>3</v>
      </c>
      <c r="C9" s="13" t="s">
        <v>4</v>
      </c>
      <c r="D9" s="13" t="s">
        <v>5</v>
      </c>
      <c r="E9" s="13" t="s">
        <v>6</v>
      </c>
      <c r="F9" s="13" t="s">
        <v>7</v>
      </c>
      <c r="G9" s="13" t="s">
        <v>8</v>
      </c>
      <c r="H9" s="13" t="s">
        <v>9</v>
      </c>
      <c r="I9" s="13" t="s">
        <v>10</v>
      </c>
      <c r="J9" s="13" t="s">
        <v>11</v>
      </c>
      <c r="K9" s="13" t="s">
        <v>12</v>
      </c>
      <c r="L9" s="13" t="s">
        <v>13</v>
      </c>
    </row>
    <row r="10" spans="1:12" x14ac:dyDescent="0.25">
      <c r="A10" s="14" t="s">
        <v>14</v>
      </c>
      <c r="B10" s="14" t="s">
        <v>15</v>
      </c>
      <c r="C10" s="14" t="s">
        <v>16</v>
      </c>
      <c r="D10" s="14" t="s">
        <v>16</v>
      </c>
      <c r="E10" s="14" t="s">
        <v>16</v>
      </c>
      <c r="F10" s="14" t="s">
        <v>16</v>
      </c>
      <c r="G10" s="14" t="s">
        <v>16</v>
      </c>
      <c r="H10" s="14" t="s">
        <v>15</v>
      </c>
      <c r="I10" s="14" t="s">
        <v>16</v>
      </c>
      <c r="J10" s="14" t="s">
        <v>17</v>
      </c>
      <c r="K10" s="14" t="s">
        <v>18</v>
      </c>
      <c r="L10" s="14" t="s">
        <v>15</v>
      </c>
    </row>
    <row r="11" spans="1:12" x14ac:dyDescent="0.25">
      <c r="A11" s="15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</row>
    <row r="12" spans="1:12" x14ac:dyDescent="0.25">
      <c r="A12" s="15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</row>
    <row r="13" spans="1:12" x14ac:dyDescent="0.25">
      <c r="A13" s="15" t="s">
        <v>21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</row>
    <row r="14" spans="1:12" x14ac:dyDescent="0.25">
      <c r="A14" s="15" t="s">
        <v>22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</row>
    <row r="15" spans="1:12" x14ac:dyDescent="0.25">
      <c r="A15" s="15" t="s">
        <v>23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</row>
    <row r="16" spans="1:12" x14ac:dyDescent="0.25">
      <c r="A16" s="15" t="s">
        <v>24</v>
      </c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</row>
    <row r="17" spans="1:12" x14ac:dyDescent="0.25">
      <c r="A17" s="15" t="s">
        <v>25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</row>
    <row r="18" spans="1:12" x14ac:dyDescent="0.25">
      <c r="A18" s="15" t="s">
        <v>26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</row>
    <row r="19" spans="1:12" x14ac:dyDescent="0.25">
      <c r="A19" s="15" t="s">
        <v>27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</row>
    <row r="20" spans="1:12" x14ac:dyDescent="0.25">
      <c r="A20" s="15" t="s">
        <v>28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12" x14ac:dyDescent="0.25">
      <c r="A21" s="15" t="s">
        <v>29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x14ac:dyDescent="0.25">
      <c r="A22" s="28" t="s">
        <v>30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1:12" x14ac:dyDescent="0.25">
      <c r="A23" s="17" t="s">
        <v>31</v>
      </c>
      <c r="B23" s="18">
        <f>IFERROR(MAX(B11:B22),0)</f>
        <v>0</v>
      </c>
      <c r="C23" s="18">
        <f t="shared" ref="C23:L23" si="0">IFERROR(MAX(C11:C22),0)</f>
        <v>0</v>
      </c>
      <c r="D23" s="18">
        <f t="shared" si="0"/>
        <v>0</v>
      </c>
      <c r="E23" s="18">
        <f t="shared" si="0"/>
        <v>0</v>
      </c>
      <c r="F23" s="18">
        <f t="shared" si="0"/>
        <v>0</v>
      </c>
      <c r="G23" s="18">
        <f t="shared" si="0"/>
        <v>0</v>
      </c>
      <c r="H23" s="18">
        <f t="shared" si="0"/>
        <v>0</v>
      </c>
      <c r="I23" s="18">
        <f t="shared" si="0"/>
        <v>0</v>
      </c>
      <c r="J23" s="18">
        <f t="shared" si="0"/>
        <v>0</v>
      </c>
      <c r="K23" s="18">
        <f t="shared" si="0"/>
        <v>0</v>
      </c>
      <c r="L23" s="18">
        <f t="shared" si="0"/>
        <v>0</v>
      </c>
    </row>
    <row r="24" spans="1:12" x14ac:dyDescent="0.25">
      <c r="A24" s="19" t="s">
        <v>32</v>
      </c>
      <c r="B24" s="20">
        <f>IFERROR(MIN(B11:B22),0)</f>
        <v>0</v>
      </c>
      <c r="C24" s="20">
        <f t="shared" ref="C24:L24" si="1">IFERROR(MIN(C11:C22),0)</f>
        <v>0</v>
      </c>
      <c r="D24" s="20">
        <f t="shared" si="1"/>
        <v>0</v>
      </c>
      <c r="E24" s="20">
        <f t="shared" si="1"/>
        <v>0</v>
      </c>
      <c r="F24" s="20">
        <f t="shared" si="1"/>
        <v>0</v>
      </c>
      <c r="G24" s="20">
        <f t="shared" si="1"/>
        <v>0</v>
      </c>
      <c r="H24" s="20">
        <f t="shared" si="1"/>
        <v>0</v>
      </c>
      <c r="I24" s="20">
        <f t="shared" si="1"/>
        <v>0</v>
      </c>
      <c r="J24" s="20">
        <f t="shared" si="1"/>
        <v>0</v>
      </c>
      <c r="K24" s="20">
        <f t="shared" si="1"/>
        <v>0</v>
      </c>
      <c r="L24" s="20">
        <f t="shared" si="1"/>
        <v>0</v>
      </c>
    </row>
    <row r="25" spans="1:12" x14ac:dyDescent="0.25">
      <c r="A25" s="21" t="s">
        <v>33</v>
      </c>
      <c r="B25" s="22">
        <f>IFERROR(AVERAGE(B11:B22),0)</f>
        <v>0</v>
      </c>
      <c r="C25" s="22">
        <f t="shared" ref="C25:L25" si="2">IFERROR(AVERAGE(C11:C22),0)</f>
        <v>0</v>
      </c>
      <c r="D25" s="22">
        <f t="shared" si="2"/>
        <v>0</v>
      </c>
      <c r="E25" s="22">
        <f t="shared" si="2"/>
        <v>0</v>
      </c>
      <c r="F25" s="22">
        <f t="shared" si="2"/>
        <v>0</v>
      </c>
      <c r="G25" s="22">
        <f t="shared" si="2"/>
        <v>0</v>
      </c>
      <c r="H25" s="22">
        <f t="shared" si="2"/>
        <v>0</v>
      </c>
      <c r="I25" s="22">
        <f t="shared" si="2"/>
        <v>0</v>
      </c>
      <c r="J25" s="22">
        <f t="shared" si="2"/>
        <v>0</v>
      </c>
      <c r="K25" s="22">
        <f t="shared" si="2"/>
        <v>0</v>
      </c>
      <c r="L25" s="22">
        <f t="shared" si="2"/>
        <v>0</v>
      </c>
    </row>
    <row r="26" spans="1:12" ht="16.5" x14ac:dyDescent="0.3">
      <c r="A26" s="35" t="s">
        <v>34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ht="16.5" x14ac:dyDescent="0.3">
      <c r="A27" s="35" t="s">
        <v>35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</row>
  </sheetData>
  <dataConsolidate/>
  <mergeCells count="12">
    <mergeCell ref="C6:D6"/>
    <mergeCell ref="E6:G6"/>
    <mergeCell ref="A26:L26"/>
    <mergeCell ref="A27:L27"/>
    <mergeCell ref="C1:I1"/>
    <mergeCell ref="J1:K1"/>
    <mergeCell ref="C2:I2"/>
    <mergeCell ref="J2:K2"/>
    <mergeCell ref="C3:I3"/>
    <mergeCell ref="J3:K3"/>
    <mergeCell ref="C4:I4"/>
    <mergeCell ref="J4:K4"/>
  </mergeCells>
  <pageMargins left="0.7" right="0.7" top="0.75" bottom="0.75" header="0.3" footer="0.3"/>
  <pageSetup scale="65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XLSXYCheckBox">
          <controlPr defaultSize="0" autoLine="0" r:id="rId5">
            <anchor moveWithCells="1">
              <from>
                <xdr:col>13</xdr:col>
                <xdr:colOff>19050</xdr:colOff>
                <xdr:row>3</xdr:row>
                <xdr:rowOff>152400</xdr:rowOff>
              </from>
              <to>
                <xdr:col>14</xdr:col>
                <xdr:colOff>600075</xdr:colOff>
                <xdr:row>5</xdr:row>
                <xdr:rowOff>9525</xdr:rowOff>
              </to>
            </anchor>
          </controlPr>
        </control>
      </mc:Choice>
      <mc:Fallback>
        <control shapeId="1029" r:id="rId4" name="XLSXYCheckBox"/>
      </mc:Fallback>
    </mc:AlternateContent>
    <mc:AlternateContent xmlns:mc="http://schemas.openxmlformats.org/markup-compatibility/2006">
      <mc:Choice Requires="x14">
        <control shapeId="1028" r:id="rId6" name="PDFYCheckBox">
          <controlPr defaultSize="0" autoLine="0" r:id="rId7">
            <anchor moveWithCells="1">
              <from>
                <xdr:col>13</xdr:col>
                <xdr:colOff>19050</xdr:colOff>
                <xdr:row>2</xdr:row>
                <xdr:rowOff>85725</xdr:rowOff>
              </from>
              <to>
                <xdr:col>14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1028" r:id="rId6" name="PDFYCheckBox"/>
      </mc:Fallback>
    </mc:AlternateContent>
    <mc:AlternateContent xmlns:mc="http://schemas.openxmlformats.org/markup-compatibility/2006">
      <mc:Choice Requires="x14">
        <control shapeId="1027" r:id="rId8" name="ReportBtn">
          <controlPr defaultSize="0" print="0" autoLine="0" autoPict="0" r:id="rId9">
            <anchor moveWithCells="1" sizeWithCells="1">
              <from>
                <xdr:col>13</xdr:col>
                <xdr:colOff>9525</xdr:colOff>
                <xdr:row>5</xdr:row>
                <xdr:rowOff>0</xdr:rowOff>
              </from>
              <to>
                <xdr:col>15</xdr:col>
                <xdr:colOff>0</xdr:colOff>
                <xdr:row>6</xdr:row>
                <xdr:rowOff>200025</xdr:rowOff>
              </to>
            </anchor>
          </controlPr>
        </control>
      </mc:Choice>
      <mc:Fallback>
        <control shapeId="1027" r:id="rId8" name="Report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Yearly_Report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Taufiqurrahman</dc:creator>
  <cp:lastModifiedBy>Taufiqurrahman</cp:lastModifiedBy>
  <cp:lastPrinted>2019-11-02T08:19:57Z</cp:lastPrinted>
  <dcterms:created xsi:type="dcterms:W3CDTF">2019-10-21T06:25:32Z</dcterms:created>
  <dcterms:modified xsi:type="dcterms:W3CDTF">2019-11-07T04:16:25Z</dcterms:modified>
</cp:coreProperties>
</file>