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9.xml" ContentType="application/vnd.ms-office.activeX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8.xml" ContentType="application/vnd.ms-office.activeX+xml"/>
  <Default Extension="emf" ContentType="image/x-emf"/>
  <Override PartName="/xl/activeX/activeX5.xml" ContentType="application/vnd.ms-office.activeX+xml"/>
  <Override PartName="/xl/activeX/activeX6.xml" ContentType="application/vnd.ms-office.activeX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activeX/activeX4.xml" ContentType="application/vnd.ms-office.activeX+xml"/>
  <Override PartName="/xl/drawings/drawing3.xml" ContentType="application/vnd.openxmlformats-officedocument.drawing+xml"/>
  <Override PartName="/xl/activeX/activeX1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5" codeName="{37E998C4-C9E5-D4B9-71C8-EB1FF731991C}"/>
  <workbookPr codeName="ThisWorkbook"/>
  <bookViews>
    <workbookView xWindow="-120" yWindow="-120" windowWidth="20730" windowHeight="11310" activeTab="2"/>
  </bookViews>
  <sheets>
    <sheet name="Daily_Report" sheetId="1" r:id="rId1"/>
    <sheet name="Monthly_Report" sheetId="2" r:id="rId2"/>
    <sheet name="Specific_Date_Report" sheetId="3" r:id="rId3"/>
    <sheet name="Specific_Minute_Report" sheetId="4" r:id="rId4"/>
  </sheets>
  <functionGroups/>
  <calcPr calcId="124519"/>
  <extLst xmlns:x15="http://schemas.microsoft.com/office/spreadsheetml/2010/11/main"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24" i="4"/>
  <c r="P24"/>
  <c r="O24"/>
  <c r="N24"/>
  <c r="M24"/>
  <c r="L24"/>
  <c r="K24"/>
  <c r="J24"/>
  <c r="I24"/>
  <c r="H24"/>
  <c r="G24"/>
  <c r="F24"/>
  <c r="E24"/>
  <c r="D24"/>
  <c r="C24"/>
  <c r="B24"/>
  <c r="Q23"/>
  <c r="P23"/>
  <c r="O23"/>
  <c r="N23"/>
  <c r="M23"/>
  <c r="L23"/>
  <c r="K23"/>
  <c r="J23"/>
  <c r="I23"/>
  <c r="H23"/>
  <c r="G23"/>
  <c r="F23"/>
  <c r="E23"/>
  <c r="D23"/>
  <c r="C23"/>
  <c r="B23"/>
  <c r="Q22"/>
  <c r="P22"/>
  <c r="O22"/>
  <c r="N22"/>
  <c r="M22"/>
  <c r="L22"/>
  <c r="K22"/>
  <c r="J22"/>
  <c r="I22"/>
  <c r="H22"/>
  <c r="G22"/>
  <c r="F22"/>
  <c r="E22"/>
  <c r="D22"/>
  <c r="C22"/>
  <c r="B22"/>
  <c r="C24" i="3" l="1"/>
  <c r="D24"/>
  <c r="E24"/>
  <c r="F24"/>
  <c r="G24"/>
  <c r="H24"/>
  <c r="I24"/>
  <c r="J24"/>
  <c r="K24"/>
  <c r="L24"/>
  <c r="M24"/>
  <c r="N24"/>
  <c r="O24"/>
  <c r="P24"/>
  <c r="Q24"/>
  <c r="C23"/>
  <c r="D23"/>
  <c r="E23"/>
  <c r="F23"/>
  <c r="G23"/>
  <c r="H23"/>
  <c r="I23"/>
  <c r="J23"/>
  <c r="K23"/>
  <c r="L23"/>
  <c r="M23"/>
  <c r="N23"/>
  <c r="O23"/>
  <c r="P23"/>
  <c r="Q23"/>
  <c r="C22"/>
  <c r="D22"/>
  <c r="E22"/>
  <c r="F22"/>
  <c r="G22"/>
  <c r="H22"/>
  <c r="I22"/>
  <c r="J22"/>
  <c r="K22"/>
  <c r="L22"/>
  <c r="M22"/>
  <c r="N22"/>
  <c r="O22"/>
  <c r="P22"/>
  <c r="Q22"/>
  <c r="C45" i="2"/>
  <c r="D45"/>
  <c r="E45"/>
  <c r="F45"/>
  <c r="G45"/>
  <c r="H45"/>
  <c r="I45"/>
  <c r="J45"/>
  <c r="K45"/>
  <c r="L45"/>
  <c r="M45"/>
  <c r="N45"/>
  <c r="O45"/>
  <c r="P45"/>
  <c r="Q45"/>
  <c r="C44"/>
  <c r="D44"/>
  <c r="E44"/>
  <c r="F44"/>
  <c r="G44"/>
  <c r="H44"/>
  <c r="I44"/>
  <c r="J44"/>
  <c r="K44"/>
  <c r="L44"/>
  <c r="M44"/>
  <c r="N44"/>
  <c r="O44"/>
  <c r="P44"/>
  <c r="Q44"/>
  <c r="C43"/>
  <c r="D43"/>
  <c r="E43"/>
  <c r="F43"/>
  <c r="G43"/>
  <c r="H43"/>
  <c r="I43"/>
  <c r="J43"/>
  <c r="K43"/>
  <c r="L43"/>
  <c r="M43"/>
  <c r="N43"/>
  <c r="O43"/>
  <c r="P43"/>
  <c r="Q43"/>
  <c r="C38" i="1"/>
  <c r="D38"/>
  <c r="E38"/>
  <c r="F38"/>
  <c r="G38"/>
  <c r="H38"/>
  <c r="I38"/>
  <c r="J38"/>
  <c r="K38"/>
  <c r="L38"/>
  <c r="M38"/>
  <c r="N38"/>
  <c r="O38"/>
  <c r="P38"/>
  <c r="Q38"/>
  <c r="C37"/>
  <c r="D37"/>
  <c r="E37"/>
  <c r="F37"/>
  <c r="G37"/>
  <c r="H37"/>
  <c r="I37"/>
  <c r="J37"/>
  <c r="K37"/>
  <c r="L37"/>
  <c r="M37"/>
  <c r="N37"/>
  <c r="O37"/>
  <c r="P37"/>
  <c r="Q37"/>
  <c r="C36"/>
  <c r="D36"/>
  <c r="E36"/>
  <c r="F36"/>
  <c r="G36"/>
  <c r="H36"/>
  <c r="I36"/>
  <c r="J36"/>
  <c r="K36"/>
  <c r="L36"/>
  <c r="M36"/>
  <c r="N36"/>
  <c r="O36"/>
  <c r="P36"/>
  <c r="Q36"/>
  <c r="B24" i="3" l="1"/>
  <c r="B23"/>
  <c r="B22"/>
  <c r="B38" i="1"/>
  <c r="B37"/>
  <c r="B36"/>
  <c r="B45" i="2" l="1"/>
  <c r="B44"/>
  <c r="B43"/>
</calcChain>
</file>

<file path=xl/sharedStrings.xml><?xml version="1.0" encoding="utf-8"?>
<sst xmlns="http://schemas.openxmlformats.org/spreadsheetml/2006/main" count="242" uniqueCount="61">
  <si>
    <t>Tanggal</t>
  </si>
  <si>
    <t xml:space="preserve">Validity criterion :  </t>
  </si>
  <si>
    <t>HRSG 1.3</t>
  </si>
  <si>
    <t>CO2-L3</t>
  </si>
  <si>
    <t>CO-L3</t>
  </si>
  <si>
    <t>SO2-L3</t>
  </si>
  <si>
    <t>NO-L3</t>
  </si>
  <si>
    <t>NOx-L3</t>
  </si>
  <si>
    <t>NO2-L3</t>
  </si>
  <si>
    <t>Opacity-L3</t>
  </si>
  <si>
    <t>Dust- L3</t>
  </si>
  <si>
    <t>Flow Rate-L3</t>
  </si>
  <si>
    <t>Velocity-L3</t>
  </si>
  <si>
    <t>O2 - L3</t>
  </si>
  <si>
    <t>%</t>
  </si>
  <si>
    <t>mg/m3</t>
  </si>
  <si>
    <t>KNm3/h</t>
  </si>
  <si>
    <t>m/s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</si>
  <si>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</si>
  <si>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</si>
  <si>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</si>
  <si>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</si>
  <si>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</si>
  <si>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</si>
  <si>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</si>
  <si>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</si>
  <si>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</si>
  <si>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</si>
  <si>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</si>
  <si>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</si>
  <si>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</si>
  <si>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</si>
  <si>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</si>
  <si>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</si>
  <si>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</si>
  <si>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</si>
  <si>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</si>
  <si>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</si>
  <si>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</si>
  <si>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</si>
  <si>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00:00</t>
  </si>
  <si>
    <t>Max.</t>
  </si>
  <si>
    <t>Min.</t>
  </si>
  <si>
    <t>Ave.</t>
  </si>
  <si>
    <t/>
  </si>
  <si>
    <t>BEKASI, .........................................................................</t>
  </si>
  <si>
    <t>Bulan</t>
  </si>
  <si>
    <t>INTEGRATED MANAGEMENT SYSTEM</t>
  </si>
  <si>
    <t>FORMULIR</t>
  </si>
  <si>
    <t>DATA PEMANTAUAN EMISI CEMS HRSG 1.1</t>
  </si>
  <si>
    <t xml:space="preserve">PT PEMBANGKITAN JAWA BALI UP MUARA TAWAR </t>
  </si>
  <si>
    <t>No. Dokumen :</t>
  </si>
  <si>
    <t>Revisi :</t>
  </si>
  <si>
    <t>Tanggal :</t>
  </si>
  <si>
    <t>Halaman :</t>
  </si>
  <si>
    <t>Date</t>
  </si>
  <si>
    <t>Date From</t>
  </si>
  <si>
    <t>Date To</t>
  </si>
  <si>
    <t>Measured</t>
  </si>
  <si>
    <t>Corrected</t>
  </si>
  <si>
    <t>Time</t>
  </si>
</sst>
</file>

<file path=xl/styles.xml><?xml version="1.0" encoding="utf-8"?>
<styleSheet xmlns="http://schemas.openxmlformats.org/spreadsheetml/2006/main">
  <numFmts count="5">
    <numFmt numFmtId="164" formatCode="####0%"/>
    <numFmt numFmtId="165" formatCode="####0.00"/>
    <numFmt numFmtId="166" formatCode="00"/>
    <numFmt numFmtId="167" formatCode=";;;"/>
    <numFmt numFmtId="168" formatCode="&quot;Rp&quot;#,##0.00"/>
  </numFmts>
  <fonts count="11">
    <font>
      <sz val="11"/>
      <color theme="1"/>
      <name val="Calibri"/>
      <family val="2"/>
      <charset val="1"/>
      <scheme val="minor"/>
    </font>
    <font>
      <b/>
      <sz val="8"/>
      <color indexed="8"/>
      <name val="MS Sans Serif"/>
      <family val="2"/>
      <charset val="1"/>
    </font>
    <font>
      <b/>
      <sz val="8"/>
      <color indexed="8"/>
      <name val="Segoe UI"/>
      <family val="2"/>
    </font>
    <font>
      <sz val="11"/>
      <color theme="1"/>
      <name val="Segoe UI"/>
      <family val="2"/>
    </font>
    <font>
      <sz val="8"/>
      <color indexed="8"/>
      <name val="Segoe UI"/>
      <family val="2"/>
    </font>
    <font>
      <b/>
      <sz val="12"/>
      <color indexed="8"/>
      <name val="Segoe UI"/>
      <family val="2"/>
    </font>
    <font>
      <sz val="10"/>
      <color indexed="8"/>
      <name val="Segoe UI"/>
      <family val="2"/>
    </font>
    <font>
      <b/>
      <sz val="10"/>
      <color theme="1"/>
      <name val="Calibri"/>
      <family val="2"/>
      <scheme val="minor"/>
    </font>
    <font>
      <b/>
      <sz val="8"/>
      <color theme="1"/>
      <name val="Segoe UI"/>
      <family val="2"/>
    </font>
    <font>
      <b/>
      <sz val="11"/>
      <color theme="0" tint="-4.9989318521683403E-2"/>
      <name val="Microsoft PhagsPa"/>
      <family val="2"/>
    </font>
    <font>
      <b/>
      <sz val="11"/>
      <color theme="0"/>
      <name val="Microsoft PhagsPa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9"/>
      </patternFill>
    </fill>
    <fill>
      <patternFill patternType="solid">
        <fgColor indexed="8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/>
      <right/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 style="double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thin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/>
      <right/>
      <top style="thin">
        <color indexed="8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</borders>
  <cellStyleXfs count="1">
    <xf numFmtId="0" fontId="0" fillId="0" borderId="0"/>
  </cellStyleXfs>
  <cellXfs count="145">
    <xf numFmtId="0" fontId="0" fillId="0" borderId="0" xfId="0"/>
    <xf numFmtId="0" fontId="0" fillId="0" borderId="1" xfId="0" applyBorder="1"/>
    <xf numFmtId="0" fontId="1" fillId="0" borderId="1" xfId="0" applyFont="1" applyBorder="1" applyAlignment="1">
      <alignment horizontal="right"/>
    </xf>
    <xf numFmtId="166" fontId="1" fillId="0" borderId="1" xfId="0" applyNumberFormat="1" applyFont="1" applyBorder="1"/>
    <xf numFmtId="167" fontId="0" fillId="0" borderId="0" xfId="0" applyNumberFormat="1"/>
    <xf numFmtId="0" fontId="0" fillId="0" borderId="0" xfId="0"/>
    <xf numFmtId="0" fontId="0" fillId="0" borderId="0" xfId="0"/>
    <xf numFmtId="0" fontId="2" fillId="0" borderId="1" xfId="0" applyFont="1" applyBorder="1"/>
    <xf numFmtId="0" fontId="3" fillId="0" borderId="1" xfId="0" applyFont="1" applyBorder="1"/>
    <xf numFmtId="0" fontId="2" fillId="0" borderId="1" xfId="0" applyFont="1" applyBorder="1" applyAlignment="1">
      <alignment horizontal="right"/>
    </xf>
    <xf numFmtId="164" fontId="4" fillId="0" borderId="1" xfId="0" applyNumberFormat="1" applyFont="1" applyBorder="1"/>
    <xf numFmtId="0" fontId="3" fillId="2" borderId="0" xfId="0" applyFont="1" applyFill="1"/>
    <xf numFmtId="0" fontId="4" fillId="3" borderId="2" xfId="0" applyFont="1" applyFill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4" fillId="0" borderId="4" xfId="0" applyFont="1" applyBorder="1" applyAlignment="1">
      <alignment horizontal="right"/>
    </xf>
    <xf numFmtId="165" fontId="4" fillId="0" borderId="4" xfId="0" applyNumberFormat="1" applyFont="1" applyBorder="1" applyAlignment="1">
      <alignment horizontal="right"/>
    </xf>
    <xf numFmtId="165" fontId="4" fillId="0" borderId="3" xfId="0" applyNumberFormat="1" applyFont="1" applyBorder="1" applyAlignment="1">
      <alignment horizontal="right"/>
    </xf>
    <xf numFmtId="0" fontId="6" fillId="0" borderId="4" xfId="0" applyFont="1" applyBorder="1" applyAlignment="1">
      <alignment horizontal="right"/>
    </xf>
    <xf numFmtId="165" fontId="6" fillId="0" borderId="5" xfId="0" applyNumberFormat="1" applyFont="1" applyBorder="1" applyAlignment="1">
      <alignment horizontal="right"/>
    </xf>
    <xf numFmtId="165" fontId="6" fillId="0" borderId="4" xfId="0" applyNumberFormat="1" applyFont="1" applyBorder="1" applyAlignment="1">
      <alignment horizontal="right"/>
    </xf>
    <xf numFmtId="0" fontId="6" fillId="0" borderId="3" xfId="0" applyFont="1" applyBorder="1" applyAlignment="1">
      <alignment horizontal="right"/>
    </xf>
    <xf numFmtId="165" fontId="6" fillId="0" borderId="3" xfId="0" applyNumberFormat="1" applyFont="1" applyBorder="1" applyAlignment="1">
      <alignment horizontal="right"/>
    </xf>
    <xf numFmtId="166" fontId="2" fillId="0" borderId="1" xfId="0" applyNumberFormat="1" applyFont="1" applyBorder="1"/>
    <xf numFmtId="166" fontId="3" fillId="2" borderId="0" xfId="0" applyNumberFormat="1" applyFont="1" applyFill="1"/>
    <xf numFmtId="166" fontId="5" fillId="0" borderId="2" xfId="0" applyNumberFormat="1" applyFont="1" applyBorder="1" applyAlignment="1">
      <alignment horizontal="center"/>
    </xf>
    <xf numFmtId="166" fontId="4" fillId="0" borderId="6" xfId="0" applyNumberFormat="1" applyFont="1" applyBorder="1" applyAlignment="1">
      <alignment horizontal="right"/>
    </xf>
    <xf numFmtId="165" fontId="4" fillId="0" borderId="7" xfId="0" applyNumberFormat="1" applyFont="1" applyBorder="1" applyAlignment="1">
      <alignment horizontal="right"/>
    </xf>
    <xf numFmtId="166" fontId="4" fillId="0" borderId="8" xfId="0" applyNumberFormat="1" applyFont="1" applyBorder="1" applyAlignment="1">
      <alignment horizontal="right"/>
    </xf>
    <xf numFmtId="166" fontId="4" fillId="0" borderId="9" xfId="0" applyNumberFormat="1" applyFont="1" applyBorder="1" applyAlignment="1">
      <alignment horizontal="right"/>
    </xf>
    <xf numFmtId="166" fontId="6" fillId="0" borderId="5" xfId="0" applyNumberFormat="1" applyFont="1" applyBorder="1" applyAlignment="1">
      <alignment horizontal="right"/>
    </xf>
    <xf numFmtId="166" fontId="6" fillId="0" borderId="4" xfId="0" applyNumberFormat="1" applyFon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0" fontId="1" fillId="0" borderId="0" xfId="0" applyFont="1" applyBorder="1"/>
    <xf numFmtId="0" fontId="0" fillId="0" borderId="0" xfId="0" applyBorder="1"/>
    <xf numFmtId="0" fontId="1" fillId="0" borderId="0" xfId="0" applyFont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6" borderId="24" xfId="0" applyFill="1" applyBorder="1"/>
    <xf numFmtId="0" fontId="0" fillId="6" borderId="25" xfId="0" applyFill="1" applyBorder="1"/>
    <xf numFmtId="0" fontId="0" fillId="6" borderId="27" xfId="0" applyFill="1" applyBorder="1"/>
    <xf numFmtId="14" fontId="0" fillId="0" borderId="0" xfId="0" applyNumberFormat="1"/>
    <xf numFmtId="0" fontId="0" fillId="0" borderId="0" xfId="0" applyFill="1" applyBorder="1"/>
    <xf numFmtId="0" fontId="1" fillId="0" borderId="0" xfId="0" applyFont="1" applyFill="1" applyBorder="1" applyAlignment="1">
      <alignment horizontal="right"/>
    </xf>
    <xf numFmtId="0" fontId="3" fillId="0" borderId="0" xfId="0" applyFont="1" applyFill="1" applyBorder="1"/>
    <xf numFmtId="0" fontId="2" fillId="0" borderId="0" xfId="0" applyFont="1" applyFill="1" applyBorder="1" applyAlignment="1">
      <alignment horizontal="right"/>
    </xf>
    <xf numFmtId="164" fontId="4" fillId="0" borderId="0" xfId="0" applyNumberFormat="1" applyFont="1" applyFill="1" applyBorder="1"/>
    <xf numFmtId="0" fontId="5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167" fontId="0" fillId="0" borderId="0" xfId="0" applyNumberFormat="1" applyFill="1" applyBorder="1"/>
    <xf numFmtId="0" fontId="4" fillId="0" borderId="0" xfId="0" applyFont="1" applyFill="1" applyBorder="1" applyAlignment="1">
      <alignment horizontal="right"/>
    </xf>
    <xf numFmtId="165" fontId="6" fillId="0" borderId="0" xfId="0" applyNumberFormat="1" applyFont="1" applyFill="1" applyBorder="1" applyAlignment="1">
      <alignment horizontal="right"/>
    </xf>
    <xf numFmtId="0" fontId="8" fillId="0" borderId="0" xfId="0" applyFont="1" applyFill="1" applyBorder="1" applyAlignment="1"/>
    <xf numFmtId="0" fontId="10" fillId="0" borderId="0" xfId="0" applyFont="1" applyFill="1" applyBorder="1" applyAlignment="1"/>
    <xf numFmtId="49" fontId="4" fillId="0" borderId="0" xfId="0" applyNumberFormat="1" applyFont="1" applyFill="1" applyBorder="1" applyAlignment="1"/>
    <xf numFmtId="14" fontId="4" fillId="0" borderId="4" xfId="0" applyNumberFormat="1" applyFont="1" applyBorder="1" applyAlignment="1">
      <alignment horizontal="right"/>
    </xf>
    <xf numFmtId="4" fontId="0" fillId="0" borderId="0" xfId="0" applyNumberFormat="1"/>
    <xf numFmtId="15" fontId="0" fillId="0" borderId="0" xfId="0" applyNumberFormat="1"/>
    <xf numFmtId="0" fontId="1" fillId="0" borderId="0" xfId="0" applyFont="1" applyFill="1" applyBorder="1"/>
    <xf numFmtId="0" fontId="2" fillId="0" borderId="0" xfId="0" applyFont="1" applyFill="1" applyBorder="1"/>
    <xf numFmtId="0" fontId="6" fillId="0" borderId="0" xfId="0" applyFont="1" applyFill="1" applyBorder="1" applyAlignment="1">
      <alignment horizontal="right"/>
    </xf>
    <xf numFmtId="0" fontId="6" fillId="0" borderId="5" xfId="0" applyFont="1" applyBorder="1" applyAlignment="1">
      <alignment horizontal="right"/>
    </xf>
    <xf numFmtId="14" fontId="4" fillId="0" borderId="4" xfId="0" applyNumberFormat="1" applyFont="1" applyBorder="1" applyAlignment="1">
      <alignment horizontal="center"/>
    </xf>
    <xf numFmtId="0" fontId="4" fillId="0" borderId="0" xfId="0" applyFont="1" applyFill="1" applyBorder="1" applyAlignment="1">
      <alignment shrinkToFit="1"/>
    </xf>
    <xf numFmtId="0" fontId="3" fillId="0" borderId="0" xfId="0" applyFont="1" applyFill="1" applyBorder="1" applyAlignment="1"/>
    <xf numFmtId="20" fontId="4" fillId="0" borderId="4" xfId="0" applyNumberFormat="1" applyFont="1" applyBorder="1" applyAlignment="1">
      <alignment horizontal="right"/>
    </xf>
    <xf numFmtId="0" fontId="4" fillId="0" borderId="30" xfId="0" applyFont="1" applyBorder="1" applyAlignment="1">
      <alignment horizontal="center" vertical="center" wrapText="1"/>
    </xf>
    <xf numFmtId="0" fontId="4" fillId="0" borderId="3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right"/>
    </xf>
    <xf numFmtId="0" fontId="0" fillId="6" borderId="15" xfId="0" applyFill="1" applyBorder="1"/>
    <xf numFmtId="0" fontId="0" fillId="6" borderId="18" xfId="0" applyFill="1" applyBorder="1"/>
    <xf numFmtId="0" fontId="0" fillId="6" borderId="35" xfId="0" applyFill="1" applyBorder="1"/>
    <xf numFmtId="166" fontId="1" fillId="0" borderId="0" xfId="0" applyNumberFormat="1" applyFont="1" applyFill="1" applyBorder="1"/>
    <xf numFmtId="166" fontId="2" fillId="0" borderId="0" xfId="0" applyNumberFormat="1" applyFont="1" applyFill="1" applyBorder="1"/>
    <xf numFmtId="0" fontId="8" fillId="0" borderId="0" xfId="0" applyFont="1" applyFill="1" applyBorder="1" applyAlignment="1">
      <alignment horizontal="center"/>
    </xf>
    <xf numFmtId="166" fontId="3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166" fontId="5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168" fontId="2" fillId="0" borderId="28" xfId="0" applyNumberFormat="1" applyFont="1" applyBorder="1"/>
    <xf numFmtId="168" fontId="3" fillId="2" borderId="0" xfId="0" applyNumberFormat="1" applyFont="1" applyFill="1"/>
    <xf numFmtId="168" fontId="5" fillId="0" borderId="2" xfId="0" applyNumberFormat="1" applyFont="1" applyBorder="1" applyAlignment="1">
      <alignment horizontal="center"/>
    </xf>
    <xf numFmtId="168" fontId="4" fillId="0" borderId="3" xfId="0" applyNumberFormat="1" applyFont="1" applyBorder="1" applyAlignment="1">
      <alignment horizontal="center" vertical="center" wrapText="1"/>
    </xf>
    <xf numFmtId="165" fontId="0" fillId="0" borderId="28" xfId="0" applyNumberFormat="1" applyBorder="1"/>
    <xf numFmtId="165" fontId="3" fillId="0" borderId="28" xfId="0" applyNumberFormat="1" applyFont="1" applyBorder="1"/>
    <xf numFmtId="165" fontId="2" fillId="0" borderId="28" xfId="0" applyNumberFormat="1" applyFont="1" applyBorder="1" applyAlignment="1">
      <alignment horizontal="right"/>
    </xf>
    <xf numFmtId="165" fontId="4" fillId="0" borderId="28" xfId="0" applyNumberFormat="1" applyFont="1" applyBorder="1"/>
    <xf numFmtId="165" fontId="4" fillId="3" borderId="2" xfId="0" applyNumberFormat="1" applyFont="1" applyFill="1" applyBorder="1" applyAlignment="1">
      <alignment horizontal="center"/>
    </xf>
    <xf numFmtId="165" fontId="3" fillId="2" borderId="0" xfId="0" applyNumberFormat="1" applyFont="1" applyFill="1"/>
    <xf numFmtId="0" fontId="4" fillId="0" borderId="3" xfId="0" applyFont="1" applyBorder="1" applyAlignment="1">
      <alignment horizontal="right"/>
    </xf>
    <xf numFmtId="0" fontId="4" fillId="0" borderId="30" xfId="0" applyFont="1" applyBorder="1" applyAlignment="1">
      <alignment horizontal="center" vertical="center" wrapText="1"/>
    </xf>
    <xf numFmtId="21" fontId="4" fillId="0" borderId="4" xfId="0" applyNumberFormat="1" applyFont="1" applyBorder="1" applyAlignment="1">
      <alignment horizontal="center"/>
    </xf>
    <xf numFmtId="0" fontId="4" fillId="0" borderId="0" xfId="0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0" fontId="5" fillId="0" borderId="31" xfId="0" applyFont="1" applyBorder="1" applyAlignment="1">
      <alignment horizontal="center"/>
    </xf>
    <xf numFmtId="0" fontId="5" fillId="0" borderId="32" xfId="0" applyFont="1" applyBorder="1" applyAlignment="1">
      <alignment horizontal="center"/>
    </xf>
    <xf numFmtId="0" fontId="4" fillId="0" borderId="29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/>
    </xf>
    <xf numFmtId="0" fontId="4" fillId="0" borderId="3" xfId="0" applyFont="1" applyBorder="1" applyAlignment="1">
      <alignment horizontal="right"/>
    </xf>
    <xf numFmtId="166" fontId="4" fillId="0" borderId="0" xfId="0" applyNumberFormat="1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/>
    </xf>
    <xf numFmtId="0" fontId="7" fillId="0" borderId="0" xfId="0" applyFont="1" applyFill="1" applyBorder="1" applyAlignment="1">
      <alignment horizontal="left"/>
    </xf>
    <xf numFmtId="0" fontId="8" fillId="0" borderId="0" xfId="0" applyFont="1" applyFill="1" applyBorder="1" applyAlignment="1">
      <alignment horizontal="center"/>
    </xf>
    <xf numFmtId="17" fontId="4" fillId="0" borderId="0" xfId="0" applyNumberFormat="1" applyFont="1" applyFill="1" applyBorder="1" applyAlignment="1">
      <alignment horizontal="center"/>
    </xf>
    <xf numFmtId="0" fontId="4" fillId="0" borderId="0" xfId="0" applyNumberFormat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49" fontId="4" fillId="6" borderId="1" xfId="0" applyNumberFormat="1" applyFont="1" applyFill="1" applyBorder="1" applyAlignment="1">
      <alignment horizontal="center"/>
    </xf>
    <xf numFmtId="0" fontId="4" fillId="0" borderId="0" xfId="0" applyFont="1" applyAlignment="1">
      <alignment shrinkToFit="1"/>
    </xf>
    <xf numFmtId="0" fontId="3" fillId="0" borderId="0" xfId="0" applyFont="1"/>
    <xf numFmtId="0" fontId="10" fillId="5" borderId="15" xfId="0" applyFont="1" applyFill="1" applyBorder="1" applyAlignment="1">
      <alignment horizontal="center"/>
    </xf>
    <xf numFmtId="0" fontId="10" fillId="5" borderId="16" xfId="0" applyFont="1" applyFill="1" applyBorder="1" applyAlignment="1">
      <alignment horizontal="center"/>
    </xf>
    <xf numFmtId="0" fontId="10" fillId="5" borderId="17" xfId="0" applyFont="1" applyFill="1" applyBorder="1" applyAlignment="1">
      <alignment horizontal="center"/>
    </xf>
    <xf numFmtId="0" fontId="10" fillId="5" borderId="18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/>
    </xf>
    <xf numFmtId="0" fontId="10" fillId="5" borderId="20" xfId="0" applyFont="1" applyFill="1" applyBorder="1" applyAlignment="1">
      <alignment horizontal="center"/>
    </xf>
    <xf numFmtId="0" fontId="10" fillId="5" borderId="21" xfId="0" applyFont="1" applyFill="1" applyBorder="1" applyAlignment="1">
      <alignment horizontal="center"/>
    </xf>
    <xf numFmtId="0" fontId="10" fillId="5" borderId="22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left"/>
    </xf>
    <xf numFmtId="0" fontId="7" fillId="4" borderId="17" xfId="0" applyFont="1" applyFill="1" applyBorder="1" applyAlignment="1">
      <alignment horizontal="left"/>
    </xf>
    <xf numFmtId="0" fontId="7" fillId="0" borderId="23" xfId="0" applyFont="1" applyFill="1" applyBorder="1" applyAlignment="1">
      <alignment horizontal="left"/>
    </xf>
    <xf numFmtId="0" fontId="7" fillId="0" borderId="26" xfId="0" applyFont="1" applyFill="1" applyBorder="1" applyAlignment="1">
      <alignment horizontal="left"/>
    </xf>
    <xf numFmtId="166" fontId="4" fillId="0" borderId="2" xfId="0" applyNumberFormat="1" applyFont="1" applyBorder="1" applyAlignment="1">
      <alignment horizontal="center"/>
    </xf>
    <xf numFmtId="166" fontId="4" fillId="0" borderId="33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7" fontId="4" fillId="6" borderId="1" xfId="0" applyNumberFormat="1" applyFont="1" applyFill="1" applyBorder="1" applyAlignment="1">
      <alignment horizontal="center"/>
    </xf>
    <xf numFmtId="0" fontId="4" fillId="6" borderId="1" xfId="0" applyNumberFormat="1" applyFont="1" applyFill="1" applyBorder="1" applyAlignment="1">
      <alignment horizontal="center"/>
    </xf>
    <xf numFmtId="0" fontId="9" fillId="5" borderId="15" xfId="0" applyFont="1" applyFill="1" applyBorder="1" applyAlignment="1">
      <alignment horizontal="center"/>
    </xf>
    <xf numFmtId="0" fontId="9" fillId="5" borderId="16" xfId="0" applyFont="1" applyFill="1" applyBorder="1" applyAlignment="1">
      <alignment horizontal="center"/>
    </xf>
    <xf numFmtId="0" fontId="9" fillId="5" borderId="17" xfId="0" applyFont="1" applyFill="1" applyBorder="1" applyAlignment="1">
      <alignment horizontal="center"/>
    </xf>
    <xf numFmtId="0" fontId="9" fillId="5" borderId="18" xfId="0" applyFont="1" applyFill="1" applyBorder="1" applyAlignment="1">
      <alignment horizontal="center"/>
    </xf>
    <xf numFmtId="0" fontId="9" fillId="5" borderId="19" xfId="0" applyFont="1" applyFill="1" applyBorder="1" applyAlignment="1">
      <alignment horizontal="center"/>
    </xf>
    <xf numFmtId="0" fontId="9" fillId="5" borderId="20" xfId="0" applyFont="1" applyFill="1" applyBorder="1" applyAlignment="1">
      <alignment horizontal="center"/>
    </xf>
    <xf numFmtId="0" fontId="9" fillId="5" borderId="21" xfId="0" applyFont="1" applyFill="1" applyBorder="1" applyAlignment="1">
      <alignment horizontal="center"/>
    </xf>
    <xf numFmtId="0" fontId="9" fillId="5" borderId="22" xfId="0" applyFont="1" applyFill="1" applyBorder="1" applyAlignment="1">
      <alignment horizontal="center"/>
    </xf>
    <xf numFmtId="168" fontId="4" fillId="0" borderId="2" xfId="0" applyNumberFormat="1" applyFont="1" applyBorder="1" applyAlignment="1">
      <alignment horizontal="center"/>
    </xf>
    <xf numFmtId="168" fontId="4" fillId="0" borderId="3" xfId="0" applyNumberFormat="1" applyFont="1" applyBorder="1" applyAlignment="1">
      <alignment horizontal="center"/>
    </xf>
    <xf numFmtId="165" fontId="8" fillId="0" borderId="28" xfId="0" applyNumberFormat="1" applyFont="1" applyBorder="1" applyAlignment="1">
      <alignment horizontal="center"/>
    </xf>
    <xf numFmtId="14" fontId="4" fillId="6" borderId="28" xfId="0" applyNumberFormat="1" applyFont="1" applyFill="1" applyBorder="1" applyAlignment="1">
      <alignment horizontal="center"/>
    </xf>
    <xf numFmtId="0" fontId="4" fillId="6" borderId="28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34;873"/>
  <ax:ocxPr ax:name="Value" ax:value="0"/>
  <ax:ocxPr ax:name="Caption" ax:value="xlsx"/>
  <ax:ocxPr ax:name="GroupName" ax:value="Daily_Report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34;794"/>
  <ax:ocxPr ax:name="Value" ax:value="1"/>
  <ax:ocxPr ax:name="Caption" ax:value="PDF"/>
  <ax:ocxPr ax:name="GroupName" ax:value="Daily_Report"/>
  <ax:ocxPr ax:name="FontName" ax:value="Calibri"/>
  <ax:ocxPr ax:name="FontHeight" ax:value="225"/>
  <ax:ocxPr ax:name="FontCharSet" ax:value="0"/>
  <ax:ocxPr ax:name="FontPitchAndFamily" ax:value="2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port File"/>
  <ax:ocxPr ax:name="Size" ax:value="3387;119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34;741"/>
  <ax:ocxPr ax:name="Value" ax:value="1"/>
  <ax:ocxPr ax:name="Caption" ax:value="xlsx"/>
  <ax:ocxPr ax:name="GroupName" ax:value="Monthly_Report"/>
  <ax:ocxPr ax:name="FontName" ax:value="Calibri"/>
  <ax:ocxPr ax:name="FontHeight" ax:value="225"/>
  <ax:ocxPr ax:name="FontCharSet" ax:value="0"/>
  <ax:ocxPr ax:name="FontPitchAndFamily" ax:value="2"/>
</ax:ocx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34;741"/>
  <ax:ocxPr ax:name="Value" ax:value="0"/>
  <ax:ocxPr ax:name="Caption" ax:value="PDF"/>
  <ax:ocxPr ax:name="GroupName" ax:value="Monthly_Report"/>
  <ax:ocxPr ax:name="FontName" ax:value="Calibri"/>
  <ax:ocxPr ax:name="FontHeight" ax:value="225"/>
  <ax:ocxPr ax:name="FontCharSet" ax:value="0"/>
  <ax:ocxPr ax:name="FontPitchAndFamily" ax:value="2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port File"/>
  <ax:ocxPr ax:name="Size" ax:value="3387;116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07;741"/>
  <ax:ocxPr ax:name="Value" ax:value="0"/>
  <ax:ocxPr ax:name="Caption" ax:value="xlsx"/>
  <ax:ocxPr ax:name="GroupName" ax:value="Specific_Date_Report"/>
  <ax:ocxPr ax:name="FontName" ax:value="Calibri"/>
  <ax:ocxPr ax:name="FontHeight" ax:value="225"/>
  <ax:ocxPr ax:name="FontCharSet" ax:value="0"/>
  <ax:ocxPr ax:name="FontPitchAndFamily" ax:value="2"/>
</ax:ocx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281;741"/>
  <ax:ocxPr ax:name="Value" ax:value="1"/>
  <ax:ocxPr ax:name="Caption" ax:value="PDF"/>
  <ax:ocxPr ax:name="GroupName" ax:value="Specific_Date_Report"/>
  <ax:ocxPr ax:name="FontName" ax:value="Calibri"/>
  <ax:ocxPr ax:name="FontHeight" ax:value="225"/>
  <ax:ocxPr ax:name="FontCharSet" ax:value="0"/>
  <ax:ocxPr ax:name="FontPitchAndFamily" ax:value="2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port File"/>
  <ax:ocxPr ax:name="Size" ax:value="3334;1111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port File"/>
  <ax:ocxPr ax:name="Size" ax:value="3387;1164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34;820"/>
  <ax:ocxPr ax:name="Value" ax:value="1"/>
  <ax:ocxPr ax:name="Caption" ax:value="xlsx"/>
  <ax:ocxPr ax:name="GroupName" ax:value="Monthly_Report"/>
  <ax:ocxPr ax:name="FontName" ax:value="Calibri"/>
  <ax:ocxPr ax:name="FontHeight" ax:value="225"/>
  <ax:ocxPr ax:name="FontCharSet" ax:value="0"/>
  <ax:ocxPr ax:name="FontPitchAndFamily" ax:value="2"/>
</ax:ocx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PropertyBag">
  <ax:ocxPr ax:name="DisplayStyle" ax:value="4"/>
  <ax:ocxPr ax:name="Size" ax:value="3334;794"/>
  <ax:ocxPr ax:name="Value" ax:value="0"/>
  <ax:ocxPr ax:name="Caption" ax:value="PDF"/>
  <ax:ocxPr ax:name="GroupName" ax:value="Monthly_Report"/>
  <ax:ocxPr ax:name="FontName" ax:value="Calibri"/>
  <ax:ocxPr ax:name="FontHeight" ax:value="225"/>
  <ax:ocxPr ax:name="FontCharSet" ax:value="0"/>
  <ax:ocxPr ax:name="FontPitchAndFamily" ax:value="2"/>
</ax:ocx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3334;794"/>
  <ax:ocxPr ax:name="Value" ax:value="1"/>
  <ax:ocxPr ax:name="Caption" ax:value="xlsx"/>
  <ax:ocxPr ax:name="GroupName" ax:value="Specific_Minute_Report"/>
  <ax:ocxPr ax:name="FontName" ax:value="Calibri"/>
  <ax:ocxPr ax:name="FontHeight" ax:value="225"/>
  <ax:ocxPr ax:name="FontCharSet" ax:value="0"/>
  <ax:ocxPr ax:name="FontPitchAndFamily" ax:value="2"/>
</ax:ocx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VariousPropertyBits" ax:value="746588185"/>
  <ax:ocxPr ax:name="DisplayStyle" ax:value="5"/>
  <ax:ocxPr ax:name="Size" ax:value="3334;873"/>
  <ax:ocxPr ax:name="Value" ax:value="0"/>
  <ax:ocxPr ax:name="Caption" ax:value="PDF"/>
  <ax:ocxPr ax:name="GroupName" ax:value="Specific_Minute_Report"/>
  <ax:ocxPr ax:name="FontName" ax:value="Calibri"/>
  <ax:ocxPr ax:name="FontEffects" ax:value="1073750016"/>
  <ax:ocxPr ax:name="FontHeight" ax:value="225"/>
  <ax:ocxPr ax:name="FontCharSet" ax:value="0"/>
  <ax:ocxPr ax:name="FontPitchAndFamily" ax:value="2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Report File"/>
  <ax:ocxPr ax:name="Size" ax:value="3334;113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454</xdr:colOff>
      <xdr:row>4</xdr:row>
      <xdr:rowOff>19050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t="1" r="81153" b="1175"/>
        <a:stretch/>
      </xdr:blipFill>
      <xdr:spPr bwMode="auto">
        <a:xfrm>
          <a:off x="0" y="0"/>
          <a:ext cx="1124404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454</xdr:colOff>
      <xdr:row>4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t="1" r="81153" b="1175"/>
        <a:stretch/>
      </xdr:blipFill>
      <xdr:spPr bwMode="auto">
        <a:xfrm>
          <a:off x="0" y="0"/>
          <a:ext cx="1124404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454</xdr:colOff>
      <xdr:row>4</xdr:row>
      <xdr:rowOff>19050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t="1" r="81153" b="1175"/>
        <a:stretch/>
      </xdr:blipFill>
      <xdr:spPr bwMode="auto">
        <a:xfrm>
          <a:off x="0" y="0"/>
          <a:ext cx="1048204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454</xdr:colOff>
      <xdr:row>4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 t="1" r="81153" b="1175"/>
        <a:stretch/>
      </xdr:blipFill>
      <xdr:spPr bwMode="auto">
        <a:xfrm>
          <a:off x="0" y="0"/>
          <a:ext cx="1162504" cy="876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control" Target="../activeX/activeX5.xml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9.xml"/><Relationship Id="rId5" Type="http://schemas.openxmlformats.org/officeDocument/2006/relationships/control" Target="../activeX/activeX8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5" Type="http://schemas.openxmlformats.org/officeDocument/2006/relationships/control" Target="../activeX/activeX14.xml"/><Relationship Id="rId4" Type="http://schemas.openxmlformats.org/officeDocument/2006/relationships/control" Target="../activeX/activeX1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I30013"/>
  <sheetViews>
    <sheetView workbookViewId="0">
      <selection activeCell="G6" sqref="G6:K6"/>
    </sheetView>
  </sheetViews>
  <sheetFormatPr defaultRowHeight="15"/>
  <cols>
    <col min="1" max="1" width="5.42578125" customWidth="1"/>
    <col min="2" max="3" width="8.28515625" customWidth="1"/>
    <col min="4" max="4" width="8.28515625" style="6" customWidth="1"/>
    <col min="5" max="5" width="8.28515625" customWidth="1"/>
    <col min="6" max="6" width="8.28515625" style="6" customWidth="1"/>
    <col min="7" max="7" width="8.28515625" customWidth="1"/>
    <col min="8" max="8" width="8.28515625" style="6" customWidth="1"/>
    <col min="9" max="9" width="8.28515625" customWidth="1"/>
    <col min="10" max="10" width="8.28515625" style="6" customWidth="1"/>
    <col min="11" max="12" width="8.28515625" customWidth="1"/>
    <col min="13" max="13" width="8.28515625" style="6" customWidth="1"/>
    <col min="14" max="17" width="8.28515625" customWidth="1"/>
  </cols>
  <sheetData>
    <row r="1" spans="1:35" ht="17.25" thickTop="1">
      <c r="A1" s="37"/>
      <c r="B1" s="38"/>
      <c r="C1" s="115" t="s">
        <v>50</v>
      </c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7"/>
      <c r="O1" s="123" t="s">
        <v>51</v>
      </c>
      <c r="P1" s="124"/>
      <c r="Q1" s="73"/>
      <c r="R1" s="46"/>
      <c r="S1" s="46"/>
      <c r="T1" s="106"/>
      <c r="U1" s="106"/>
      <c r="V1" s="106"/>
      <c r="W1" s="106"/>
      <c r="X1" s="106"/>
      <c r="Y1" s="106"/>
      <c r="Z1" s="106"/>
      <c r="AA1" s="106"/>
      <c r="AB1" s="106"/>
      <c r="AC1" s="106"/>
      <c r="AD1" s="106"/>
      <c r="AE1" s="106"/>
      <c r="AF1" s="107"/>
      <c r="AG1" s="107"/>
      <c r="AH1" s="46"/>
      <c r="AI1" s="46"/>
    </row>
    <row r="2" spans="1:35" ht="16.5">
      <c r="A2" s="39"/>
      <c r="B2" s="35"/>
      <c r="C2" s="118" t="s">
        <v>47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20"/>
      <c r="O2" s="125" t="s">
        <v>52</v>
      </c>
      <c r="P2" s="125"/>
      <c r="Q2" s="74"/>
      <c r="R2" s="46"/>
      <c r="S2" s="4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7"/>
      <c r="AG2" s="107"/>
      <c r="AH2" s="46"/>
      <c r="AI2" s="46"/>
    </row>
    <row r="3" spans="1:35" ht="16.5">
      <c r="A3" s="39"/>
      <c r="B3" s="35"/>
      <c r="C3" s="118" t="s">
        <v>48</v>
      </c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20"/>
      <c r="O3" s="125" t="s">
        <v>53</v>
      </c>
      <c r="P3" s="125"/>
      <c r="Q3" s="74"/>
      <c r="R3" s="46"/>
      <c r="S3" s="4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7"/>
      <c r="AG3" s="107"/>
      <c r="AH3" s="46"/>
      <c r="AI3" s="46"/>
    </row>
    <row r="4" spans="1:35" ht="17.25" thickBot="1">
      <c r="A4" s="40"/>
      <c r="B4" s="41"/>
      <c r="C4" s="121" t="s">
        <v>49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6" t="s">
        <v>54</v>
      </c>
      <c r="P4" s="126"/>
      <c r="Q4" s="75"/>
      <c r="R4" s="46"/>
      <c r="S4" s="4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7"/>
      <c r="AG4" s="107"/>
      <c r="AH4" s="46"/>
      <c r="AI4" s="46"/>
    </row>
    <row r="5" spans="1:35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6"/>
      <c r="R5" s="7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7"/>
      <c r="AI5" s="46"/>
    </row>
    <row r="6" spans="1:35" ht="16.5">
      <c r="A6" s="7"/>
      <c r="B6" s="8"/>
      <c r="C6" s="129" t="s">
        <v>0</v>
      </c>
      <c r="D6" s="129"/>
      <c r="E6" s="129"/>
      <c r="F6" s="129"/>
      <c r="G6" s="112" t="s">
        <v>44</v>
      </c>
      <c r="H6" s="112"/>
      <c r="I6" s="112"/>
      <c r="J6" s="112"/>
      <c r="K6" s="112"/>
      <c r="L6" s="8"/>
      <c r="M6" s="8"/>
      <c r="N6" s="8"/>
      <c r="O6" s="8"/>
      <c r="P6" s="9" t="s">
        <v>1</v>
      </c>
      <c r="Q6" s="10">
        <v>0.95</v>
      </c>
      <c r="R6" s="77"/>
      <c r="S6" s="48"/>
      <c r="T6" s="108"/>
      <c r="U6" s="108"/>
      <c r="V6" s="108"/>
      <c r="W6" s="78"/>
      <c r="X6" s="109"/>
      <c r="Y6" s="109"/>
      <c r="Z6" s="110"/>
      <c r="AA6" s="110"/>
      <c r="AB6" s="110"/>
      <c r="AC6" s="48"/>
      <c r="AD6" s="48"/>
      <c r="AE6" s="48"/>
      <c r="AF6" s="48"/>
      <c r="AG6" s="49"/>
      <c r="AH6" s="50"/>
      <c r="AI6" s="46"/>
    </row>
    <row r="7" spans="1:35" s="6" customFormat="1" ht="16.5">
      <c r="A7" s="11"/>
      <c r="B7" s="12" t="s">
        <v>2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79"/>
      <c r="S7" s="80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  <c r="AG7" s="48"/>
      <c r="AH7" s="48"/>
      <c r="AI7" s="46"/>
    </row>
    <row r="8" spans="1:35" s="6" customFormat="1" ht="17.25">
      <c r="A8" s="26"/>
      <c r="B8" s="13">
        <v>1</v>
      </c>
      <c r="C8" s="13">
        <v>2</v>
      </c>
      <c r="D8" s="98">
        <v>3</v>
      </c>
      <c r="E8" s="99"/>
      <c r="F8" s="98">
        <v>4</v>
      </c>
      <c r="G8" s="99"/>
      <c r="H8" s="98">
        <v>5</v>
      </c>
      <c r="I8" s="99"/>
      <c r="J8" s="98">
        <v>6</v>
      </c>
      <c r="K8" s="99"/>
      <c r="L8" s="13">
        <v>7</v>
      </c>
      <c r="M8" s="98">
        <v>8</v>
      </c>
      <c r="N8" s="99"/>
      <c r="O8" s="13">
        <v>9</v>
      </c>
      <c r="P8" s="13">
        <v>10</v>
      </c>
      <c r="Q8" s="13">
        <v>11</v>
      </c>
      <c r="R8" s="81"/>
      <c r="S8" s="51"/>
      <c r="T8" s="51"/>
      <c r="U8" s="111"/>
      <c r="V8" s="111"/>
      <c r="W8" s="111"/>
      <c r="X8" s="111"/>
      <c r="Y8" s="111"/>
      <c r="Z8" s="111"/>
      <c r="AA8" s="111"/>
      <c r="AB8" s="111"/>
      <c r="AC8" s="51"/>
      <c r="AD8" s="111"/>
      <c r="AE8" s="111"/>
      <c r="AF8" s="51"/>
      <c r="AG8" s="51"/>
      <c r="AH8" s="51"/>
      <c r="AI8" s="46"/>
    </row>
    <row r="9" spans="1:35" s="6" customFormat="1" ht="21">
      <c r="A9" s="14"/>
      <c r="B9" s="14" t="s">
        <v>3</v>
      </c>
      <c r="C9" s="14" t="s">
        <v>4</v>
      </c>
      <c r="D9" s="100" t="s">
        <v>5</v>
      </c>
      <c r="E9" s="101"/>
      <c r="F9" s="100" t="s">
        <v>6</v>
      </c>
      <c r="G9" s="101"/>
      <c r="H9" s="100" t="s">
        <v>7</v>
      </c>
      <c r="I9" s="101"/>
      <c r="J9" s="100" t="s">
        <v>8</v>
      </c>
      <c r="K9" s="101"/>
      <c r="L9" s="14" t="s">
        <v>9</v>
      </c>
      <c r="M9" s="100" t="s">
        <v>10</v>
      </c>
      <c r="N9" s="101"/>
      <c r="O9" s="14" t="s">
        <v>11</v>
      </c>
      <c r="P9" s="14" t="s">
        <v>12</v>
      </c>
      <c r="Q9" s="14" t="s">
        <v>13</v>
      </c>
      <c r="R9" s="52"/>
      <c r="S9" s="52"/>
      <c r="T9" s="52"/>
      <c r="U9" s="105"/>
      <c r="V9" s="105"/>
      <c r="W9" s="105"/>
      <c r="X9" s="105"/>
      <c r="Y9" s="105"/>
      <c r="Z9" s="105"/>
      <c r="AA9" s="105"/>
      <c r="AB9" s="105"/>
      <c r="AC9" s="52"/>
      <c r="AD9" s="105"/>
      <c r="AE9" s="105"/>
      <c r="AF9" s="52"/>
      <c r="AG9" s="52"/>
      <c r="AH9" s="52"/>
      <c r="AI9" s="53"/>
    </row>
    <row r="10" spans="1:35" s="6" customFormat="1">
      <c r="A10" s="127" t="s">
        <v>60</v>
      </c>
      <c r="B10" s="102" t="s">
        <v>14</v>
      </c>
      <c r="C10" s="102" t="s">
        <v>15</v>
      </c>
      <c r="D10" s="71" t="s">
        <v>58</v>
      </c>
      <c r="E10" s="70" t="s">
        <v>59</v>
      </c>
      <c r="F10" s="71" t="s">
        <v>58</v>
      </c>
      <c r="G10" s="70" t="s">
        <v>59</v>
      </c>
      <c r="H10" s="71" t="s">
        <v>58</v>
      </c>
      <c r="I10" s="70" t="s">
        <v>59</v>
      </c>
      <c r="J10" s="71" t="s">
        <v>58</v>
      </c>
      <c r="K10" s="70" t="s">
        <v>59</v>
      </c>
      <c r="L10" s="102" t="s">
        <v>14</v>
      </c>
      <c r="M10" s="71" t="s">
        <v>58</v>
      </c>
      <c r="N10" s="70" t="s">
        <v>59</v>
      </c>
      <c r="O10" s="102" t="s">
        <v>16</v>
      </c>
      <c r="P10" s="102" t="s">
        <v>17</v>
      </c>
      <c r="Q10" s="102" t="s">
        <v>14</v>
      </c>
      <c r="R10" s="104"/>
      <c r="S10" s="97"/>
      <c r="T10" s="97"/>
      <c r="U10" s="52"/>
      <c r="V10" s="52"/>
      <c r="W10" s="52"/>
      <c r="X10" s="52"/>
      <c r="Y10" s="52"/>
      <c r="Z10" s="52"/>
      <c r="AA10" s="52"/>
      <c r="AB10" s="52"/>
      <c r="AC10" s="97"/>
      <c r="AD10" s="52"/>
      <c r="AE10" s="52"/>
      <c r="AF10" s="97"/>
      <c r="AG10" s="97"/>
      <c r="AH10" s="97"/>
      <c r="AI10" s="53"/>
    </row>
    <row r="11" spans="1:35" s="6" customFormat="1">
      <c r="A11" s="128"/>
      <c r="B11" s="103"/>
      <c r="C11" s="103"/>
      <c r="D11" s="15" t="s">
        <v>15</v>
      </c>
      <c r="E11" s="15" t="s">
        <v>15</v>
      </c>
      <c r="F11" s="15" t="s">
        <v>15</v>
      </c>
      <c r="G11" s="15" t="s">
        <v>15</v>
      </c>
      <c r="H11" s="15" t="s">
        <v>15</v>
      </c>
      <c r="I11" s="15" t="s">
        <v>15</v>
      </c>
      <c r="J11" s="15" t="s">
        <v>15</v>
      </c>
      <c r="K11" s="15" t="s">
        <v>15</v>
      </c>
      <c r="L11" s="103"/>
      <c r="M11" s="15" t="s">
        <v>15</v>
      </c>
      <c r="N11" s="15" t="s">
        <v>15</v>
      </c>
      <c r="O11" s="103"/>
      <c r="P11" s="103"/>
      <c r="Q11" s="103"/>
      <c r="R11" s="104"/>
      <c r="S11" s="97"/>
      <c r="T11" s="97"/>
      <c r="U11" s="54"/>
      <c r="V11" s="54"/>
      <c r="W11" s="54"/>
      <c r="X11" s="54"/>
      <c r="Y11" s="54"/>
      <c r="Z11" s="54"/>
      <c r="AA11" s="54"/>
      <c r="AB11" s="54"/>
      <c r="AC11" s="97"/>
      <c r="AD11" s="54"/>
      <c r="AE11" s="54"/>
      <c r="AF11" s="97"/>
      <c r="AG11" s="97"/>
      <c r="AH11" s="97"/>
      <c r="AI11" s="46"/>
    </row>
    <row r="12" spans="1:35" s="6" customFormat="1">
      <c r="A12" s="69">
        <v>4.1666666666666664E-2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1:35" s="6" customFormat="1">
      <c r="A13" s="59" t="s">
        <v>18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1:35" s="6" customFormat="1">
      <c r="A14" s="59" t="s">
        <v>19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1:35" s="6" customFormat="1">
      <c r="A15" s="59" t="s">
        <v>20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1:35" s="6" customFormat="1">
      <c r="A16" s="59" t="s">
        <v>21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1:17" s="6" customFormat="1">
      <c r="A17" s="59" t="s">
        <v>22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1:17" s="6" customFormat="1">
      <c r="A18" s="16" t="s">
        <v>23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17" s="6" customFormat="1">
      <c r="A19" s="16" t="s">
        <v>24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1:17" s="6" customFormat="1">
      <c r="A20" s="16" t="s">
        <v>25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1:17" s="6" customFormat="1">
      <c r="A21" s="16" t="s">
        <v>26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1:17" s="6" customFormat="1">
      <c r="A22" s="16" t="s">
        <v>27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1:17" s="6" customFormat="1">
      <c r="A23" s="16" t="s">
        <v>28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1:17" s="6" customFormat="1">
      <c r="A24" s="16" t="s">
        <v>29</v>
      </c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1:17" s="6" customFormat="1">
      <c r="A25" s="16" t="s">
        <v>30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17" s="6" customFormat="1">
      <c r="A26" s="16" t="s">
        <v>31</v>
      </c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17" s="6" customFormat="1">
      <c r="A27" s="16" t="s">
        <v>32</v>
      </c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17" s="6" customFormat="1">
      <c r="A28" s="16" t="s">
        <v>33</v>
      </c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1:17" s="6" customFormat="1">
      <c r="A29" s="16" t="s">
        <v>34</v>
      </c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1:17" s="6" customFormat="1">
      <c r="A30" s="16" t="s">
        <v>35</v>
      </c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1:17" s="6" customFormat="1">
      <c r="A31" s="16" t="s">
        <v>36</v>
      </c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1:17" s="6" customFormat="1">
      <c r="A32" s="16" t="s">
        <v>37</v>
      </c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7" s="6" customFormat="1">
      <c r="A33" s="16" t="s">
        <v>38</v>
      </c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  <row r="34" spans="1:17" s="6" customFormat="1">
      <c r="A34" s="16" t="s">
        <v>39</v>
      </c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</row>
    <row r="35" spans="1:17" s="6" customFormat="1">
      <c r="A35" s="15" t="s">
        <v>40</v>
      </c>
      <c r="B35" s="17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</row>
    <row r="36" spans="1:17" s="6" customFormat="1">
      <c r="A36" s="19" t="s">
        <v>41</v>
      </c>
      <c r="B36" s="20">
        <f>IFERROR(MAX(B12:B35),0)</f>
        <v>0</v>
      </c>
      <c r="C36" s="20">
        <f t="shared" ref="C36:Q36" si="0">IFERROR(MAX(C12:C35),0)</f>
        <v>0</v>
      </c>
      <c r="D36" s="20">
        <f t="shared" si="0"/>
        <v>0</v>
      </c>
      <c r="E36" s="20">
        <f t="shared" si="0"/>
        <v>0</v>
      </c>
      <c r="F36" s="20">
        <f t="shared" si="0"/>
        <v>0</v>
      </c>
      <c r="G36" s="20">
        <f t="shared" si="0"/>
        <v>0</v>
      </c>
      <c r="H36" s="20">
        <f t="shared" si="0"/>
        <v>0</v>
      </c>
      <c r="I36" s="20">
        <f t="shared" si="0"/>
        <v>0</v>
      </c>
      <c r="J36" s="20">
        <f t="shared" si="0"/>
        <v>0</v>
      </c>
      <c r="K36" s="20">
        <f t="shared" si="0"/>
        <v>0</v>
      </c>
      <c r="L36" s="20">
        <f t="shared" si="0"/>
        <v>0</v>
      </c>
      <c r="M36" s="20">
        <f t="shared" si="0"/>
        <v>0</v>
      </c>
      <c r="N36" s="20">
        <f t="shared" si="0"/>
        <v>0</v>
      </c>
      <c r="O36" s="20">
        <f t="shared" si="0"/>
        <v>0</v>
      </c>
      <c r="P36" s="20">
        <f t="shared" si="0"/>
        <v>0</v>
      </c>
      <c r="Q36" s="20">
        <f t="shared" si="0"/>
        <v>0</v>
      </c>
    </row>
    <row r="37" spans="1:17" s="6" customFormat="1">
      <c r="A37" s="19" t="s">
        <v>42</v>
      </c>
      <c r="B37" s="21">
        <f>IFERROR(MIN(B12:B35),0)</f>
        <v>0</v>
      </c>
      <c r="C37" s="21">
        <f t="shared" ref="C37:Q37" si="1">IFERROR(MIN(C12:C35),0)</f>
        <v>0</v>
      </c>
      <c r="D37" s="21">
        <f t="shared" si="1"/>
        <v>0</v>
      </c>
      <c r="E37" s="21">
        <f t="shared" si="1"/>
        <v>0</v>
      </c>
      <c r="F37" s="21">
        <f t="shared" si="1"/>
        <v>0</v>
      </c>
      <c r="G37" s="21">
        <f t="shared" si="1"/>
        <v>0</v>
      </c>
      <c r="H37" s="21">
        <f t="shared" si="1"/>
        <v>0</v>
      </c>
      <c r="I37" s="21">
        <f t="shared" si="1"/>
        <v>0</v>
      </c>
      <c r="J37" s="21">
        <f t="shared" si="1"/>
        <v>0</v>
      </c>
      <c r="K37" s="21">
        <f t="shared" si="1"/>
        <v>0</v>
      </c>
      <c r="L37" s="21">
        <f t="shared" si="1"/>
        <v>0</v>
      </c>
      <c r="M37" s="21">
        <f t="shared" si="1"/>
        <v>0</v>
      </c>
      <c r="N37" s="21">
        <f t="shared" si="1"/>
        <v>0</v>
      </c>
      <c r="O37" s="21">
        <f t="shared" si="1"/>
        <v>0</v>
      </c>
      <c r="P37" s="21">
        <f t="shared" si="1"/>
        <v>0</v>
      </c>
      <c r="Q37" s="21">
        <f t="shared" si="1"/>
        <v>0</v>
      </c>
    </row>
    <row r="38" spans="1:17" s="6" customFormat="1">
      <c r="A38" s="22" t="s">
        <v>43</v>
      </c>
      <c r="B38" s="23">
        <f t="shared" ref="B38:Q38" si="2">IFERROR(AVERAGE(B12:B35),0)</f>
        <v>0</v>
      </c>
      <c r="C38" s="23">
        <f t="shared" si="2"/>
        <v>0</v>
      </c>
      <c r="D38" s="23">
        <f t="shared" si="2"/>
        <v>0</v>
      </c>
      <c r="E38" s="23">
        <f t="shared" si="2"/>
        <v>0</v>
      </c>
      <c r="F38" s="23">
        <f t="shared" si="2"/>
        <v>0</v>
      </c>
      <c r="G38" s="23">
        <f t="shared" si="2"/>
        <v>0</v>
      </c>
      <c r="H38" s="23">
        <f t="shared" si="2"/>
        <v>0</v>
      </c>
      <c r="I38" s="23">
        <f t="shared" si="2"/>
        <v>0</v>
      </c>
      <c r="J38" s="23">
        <f t="shared" si="2"/>
        <v>0</v>
      </c>
      <c r="K38" s="23">
        <f t="shared" si="2"/>
        <v>0</v>
      </c>
      <c r="L38" s="23">
        <f t="shared" si="2"/>
        <v>0</v>
      </c>
      <c r="M38" s="23">
        <f t="shared" si="2"/>
        <v>0</v>
      </c>
      <c r="N38" s="23">
        <f t="shared" si="2"/>
        <v>0</v>
      </c>
      <c r="O38" s="23">
        <f t="shared" si="2"/>
        <v>0</v>
      </c>
      <c r="P38" s="23">
        <f t="shared" si="2"/>
        <v>0</v>
      </c>
      <c r="Q38" s="23">
        <f t="shared" si="2"/>
        <v>0</v>
      </c>
    </row>
    <row r="39" spans="1:17" s="6" customFormat="1" ht="16.5">
      <c r="A39" s="113" t="s">
        <v>44</v>
      </c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</row>
    <row r="40" spans="1:17" s="6" customFormat="1" ht="16.5">
      <c r="A40" s="113" t="s">
        <v>45</v>
      </c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</row>
    <row r="10013" spans="2:17">
      <c r="B10013">
        <v>15.19</v>
      </c>
      <c r="C10013">
        <v>130.76</v>
      </c>
      <c r="E10013">
        <v>1.02</v>
      </c>
      <c r="G10013">
        <v>24.44</v>
      </c>
      <c r="I10013">
        <v>43.14</v>
      </c>
      <c r="K10013">
        <v>30.4</v>
      </c>
      <c r="L10013">
        <v>6.25</v>
      </c>
      <c r="N10013">
        <v>4.59</v>
      </c>
      <c r="O10013">
        <v>1208.48</v>
      </c>
      <c r="P10013">
        <v>1.0900000000000001</v>
      </c>
      <c r="Q10013">
        <v>14.62</v>
      </c>
    </row>
    <row r="20013" spans="2:17">
      <c r="B20013">
        <v>15.19</v>
      </c>
      <c r="C20013">
        <v>130.76</v>
      </c>
      <c r="E20013">
        <v>1.02</v>
      </c>
      <c r="G20013">
        <v>99.04</v>
      </c>
      <c r="I20013">
        <v>92.74</v>
      </c>
      <c r="K20013">
        <v>50.1</v>
      </c>
      <c r="L20013">
        <v>6.56</v>
      </c>
      <c r="N20013">
        <v>47.72</v>
      </c>
      <c r="O20013">
        <v>1558.28</v>
      </c>
      <c r="P20013">
        <v>1.0900000000000001</v>
      </c>
      <c r="Q20013">
        <v>24.62</v>
      </c>
    </row>
    <row r="30013" spans="2:17">
      <c r="B30013">
        <v>15.19</v>
      </c>
      <c r="C30013">
        <v>130.76</v>
      </c>
      <c r="E30013">
        <v>1.02</v>
      </c>
      <c r="G30013">
        <v>24.44</v>
      </c>
      <c r="I30013">
        <v>43.14</v>
      </c>
      <c r="K30013">
        <v>30.4</v>
      </c>
      <c r="L30013">
        <v>6.25</v>
      </c>
      <c r="N30013">
        <v>4.59</v>
      </c>
      <c r="O30013">
        <v>1208.48</v>
      </c>
      <c r="P30013">
        <v>1.0900000000000001</v>
      </c>
      <c r="Q30013">
        <v>14.62</v>
      </c>
    </row>
  </sheetData>
  <mergeCells count="56">
    <mergeCell ref="G6:K6"/>
    <mergeCell ref="A39:Q39"/>
    <mergeCell ref="A40:Q40"/>
    <mergeCell ref="C1:N1"/>
    <mergeCell ref="C2:N2"/>
    <mergeCell ref="C3:N3"/>
    <mergeCell ref="C4:N4"/>
    <mergeCell ref="O1:P1"/>
    <mergeCell ref="O2:P2"/>
    <mergeCell ref="O3:P3"/>
    <mergeCell ref="O4:P4"/>
    <mergeCell ref="A10:A11"/>
    <mergeCell ref="B10:B11"/>
    <mergeCell ref="C10:C11"/>
    <mergeCell ref="C6:F6"/>
    <mergeCell ref="T1:AE1"/>
    <mergeCell ref="AF1:AG1"/>
    <mergeCell ref="T2:AE2"/>
    <mergeCell ref="AF2:AG2"/>
    <mergeCell ref="T3:AE3"/>
    <mergeCell ref="AF3:AG3"/>
    <mergeCell ref="T4:AE4"/>
    <mergeCell ref="AF4:AG4"/>
    <mergeCell ref="T6:V6"/>
    <mergeCell ref="X6:AB6"/>
    <mergeCell ref="U8:V8"/>
    <mergeCell ref="W8:X8"/>
    <mergeCell ref="Y8:Z8"/>
    <mergeCell ref="AA8:AB8"/>
    <mergeCell ref="AD8:AE8"/>
    <mergeCell ref="U9:V9"/>
    <mergeCell ref="W9:X9"/>
    <mergeCell ref="Y9:Z9"/>
    <mergeCell ref="AA9:AB9"/>
    <mergeCell ref="AD9:AE9"/>
    <mergeCell ref="R10:R11"/>
    <mergeCell ref="S10:S11"/>
    <mergeCell ref="T10:T11"/>
    <mergeCell ref="AC10:AC11"/>
    <mergeCell ref="AF10:AF11"/>
    <mergeCell ref="AG10:AG11"/>
    <mergeCell ref="AH10:AH11"/>
    <mergeCell ref="D8:E8"/>
    <mergeCell ref="D9:E9"/>
    <mergeCell ref="F8:G8"/>
    <mergeCell ref="F9:G9"/>
    <mergeCell ref="H9:I9"/>
    <mergeCell ref="H8:I8"/>
    <mergeCell ref="J9:K9"/>
    <mergeCell ref="J8:K8"/>
    <mergeCell ref="M9:N9"/>
    <mergeCell ref="M8:N8"/>
    <mergeCell ref="L10:L11"/>
    <mergeCell ref="O10:O11"/>
    <mergeCell ref="P10:P11"/>
    <mergeCell ref="Q10:Q11"/>
  </mergeCells>
  <pageMargins left="0.39370078740157483" right="0.39370078740157483" top="0.39370078740157483" bottom="0.39370078740157483" header="0" footer="0"/>
  <pageSetup paperSize="9" fitToHeight="0" orientation="landscape" r:id="rId1"/>
  <drawing r:id="rId2"/>
  <legacyDrawing r:id="rId3"/>
  <controls>
    <control shapeId="1034" r:id="rId4" name="XLSXCheckBox"/>
    <control shapeId="1033" r:id="rId5" name="PDFCheckBox"/>
    <control shapeId="1027" r:id="rId6" name="ReportBt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47"/>
  <sheetViews>
    <sheetView workbookViewId="0">
      <selection activeCell="G6" sqref="G6:K6"/>
    </sheetView>
  </sheetViews>
  <sheetFormatPr defaultRowHeight="15"/>
  <cols>
    <col min="1" max="1" width="5" customWidth="1"/>
    <col min="2" max="3" width="7.28515625" customWidth="1"/>
    <col min="4" max="4" width="8.140625" style="6" customWidth="1"/>
    <col min="5" max="5" width="8.140625" customWidth="1"/>
    <col min="6" max="6" width="8.140625" style="6" customWidth="1"/>
    <col min="7" max="7" width="8.140625" customWidth="1"/>
    <col min="8" max="8" width="8.140625" style="6" customWidth="1"/>
    <col min="9" max="9" width="8.140625" customWidth="1"/>
    <col min="10" max="10" width="8.140625" style="6" customWidth="1"/>
    <col min="11" max="11" width="8.140625" customWidth="1"/>
    <col min="12" max="12" width="7.7109375" customWidth="1"/>
    <col min="13" max="13" width="8.140625" style="6" customWidth="1"/>
    <col min="14" max="14" width="8.140625" customWidth="1"/>
    <col min="15" max="15" width="7.7109375" customWidth="1"/>
    <col min="16" max="16" width="7.5703125" customWidth="1"/>
    <col min="17" max="17" width="7.140625" customWidth="1"/>
  </cols>
  <sheetData>
    <row r="1" spans="1:18" s="6" customFormat="1" ht="17.25" thickTop="1">
      <c r="A1" s="37"/>
      <c r="B1" s="38"/>
      <c r="C1" s="132" t="s">
        <v>50</v>
      </c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4"/>
      <c r="O1" s="123" t="s">
        <v>51</v>
      </c>
      <c r="P1" s="124"/>
      <c r="Q1" s="42"/>
    </row>
    <row r="2" spans="1:18" s="6" customFormat="1" ht="16.5">
      <c r="A2" s="39"/>
      <c r="B2" s="35"/>
      <c r="C2" s="135" t="s">
        <v>47</v>
      </c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7"/>
      <c r="O2" s="125" t="s">
        <v>52</v>
      </c>
      <c r="P2" s="125"/>
      <c r="Q2" s="43"/>
    </row>
    <row r="3" spans="1:18" s="6" customFormat="1" ht="16.5">
      <c r="A3" s="39"/>
      <c r="B3" s="35"/>
      <c r="C3" s="135" t="s">
        <v>48</v>
      </c>
      <c r="D3" s="136"/>
      <c r="E3" s="136"/>
      <c r="F3" s="136"/>
      <c r="G3" s="136"/>
      <c r="H3" s="136"/>
      <c r="I3" s="136"/>
      <c r="J3" s="136"/>
      <c r="K3" s="136"/>
      <c r="L3" s="136"/>
      <c r="M3" s="136"/>
      <c r="N3" s="137"/>
      <c r="O3" s="125" t="s">
        <v>53</v>
      </c>
      <c r="P3" s="125"/>
      <c r="Q3" s="43"/>
    </row>
    <row r="4" spans="1:18" s="6" customFormat="1" ht="17.25" thickBot="1">
      <c r="A4" s="40"/>
      <c r="B4" s="41"/>
      <c r="C4" s="138" t="s">
        <v>49</v>
      </c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39"/>
      <c r="O4" s="126" t="s">
        <v>54</v>
      </c>
      <c r="P4" s="126"/>
      <c r="Q4" s="44"/>
    </row>
    <row r="5" spans="1:18">
      <c r="A5" s="3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2"/>
    </row>
    <row r="6" spans="1:18" ht="16.5">
      <c r="A6" s="24"/>
      <c r="B6" s="8"/>
      <c r="C6" s="129" t="s">
        <v>46</v>
      </c>
      <c r="D6" s="129"/>
      <c r="E6" s="129"/>
      <c r="F6" s="129"/>
      <c r="G6" s="130">
        <v>43770</v>
      </c>
      <c r="H6" s="130"/>
      <c r="I6" s="131"/>
      <c r="J6" s="131"/>
      <c r="K6" s="131"/>
      <c r="L6" s="8"/>
      <c r="M6" s="8"/>
      <c r="N6" s="8"/>
      <c r="O6" s="8"/>
      <c r="P6" s="9" t="s">
        <v>1</v>
      </c>
      <c r="Q6" s="10">
        <v>0.95</v>
      </c>
    </row>
    <row r="7" spans="1:18" ht="16.5">
      <c r="A7" s="25"/>
      <c r="B7" s="12" t="s">
        <v>2</v>
      </c>
      <c r="C7" s="11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</row>
    <row r="8" spans="1:18" ht="17.25">
      <c r="A8" s="26"/>
      <c r="B8" s="13">
        <v>1</v>
      </c>
      <c r="C8" s="13">
        <v>2</v>
      </c>
      <c r="D8" s="98">
        <v>3</v>
      </c>
      <c r="E8" s="99"/>
      <c r="F8" s="98">
        <v>4</v>
      </c>
      <c r="G8" s="99"/>
      <c r="H8" s="98">
        <v>5</v>
      </c>
      <c r="I8" s="99"/>
      <c r="J8" s="98">
        <v>6</v>
      </c>
      <c r="K8" s="99"/>
      <c r="L8" s="13">
        <v>7</v>
      </c>
      <c r="M8" s="98">
        <v>8</v>
      </c>
      <c r="N8" s="99"/>
      <c r="O8" s="13">
        <v>9</v>
      </c>
      <c r="P8" s="13">
        <v>10</v>
      </c>
      <c r="Q8" s="13">
        <v>11</v>
      </c>
    </row>
    <row r="9" spans="1:18" s="5" customFormat="1" ht="21">
      <c r="A9" s="14"/>
      <c r="B9" s="14" t="s">
        <v>3</v>
      </c>
      <c r="C9" s="14" t="s">
        <v>4</v>
      </c>
      <c r="D9" s="100" t="s">
        <v>5</v>
      </c>
      <c r="E9" s="101"/>
      <c r="F9" s="100" t="s">
        <v>6</v>
      </c>
      <c r="G9" s="101"/>
      <c r="H9" s="100" t="s">
        <v>7</v>
      </c>
      <c r="I9" s="101"/>
      <c r="J9" s="100" t="s">
        <v>8</v>
      </c>
      <c r="K9" s="101"/>
      <c r="L9" s="14" t="s">
        <v>9</v>
      </c>
      <c r="M9" s="100" t="s">
        <v>10</v>
      </c>
      <c r="N9" s="101"/>
      <c r="O9" s="14" t="s">
        <v>11</v>
      </c>
      <c r="P9" s="14" t="s">
        <v>12</v>
      </c>
      <c r="Q9" s="14" t="s">
        <v>13</v>
      </c>
      <c r="R9" s="4"/>
    </row>
    <row r="10" spans="1:18" s="6" customFormat="1" ht="15" customHeight="1">
      <c r="A10" s="127" t="s">
        <v>55</v>
      </c>
      <c r="B10" s="102" t="s">
        <v>14</v>
      </c>
      <c r="C10" s="102" t="s">
        <v>15</v>
      </c>
      <c r="D10" s="71" t="s">
        <v>58</v>
      </c>
      <c r="E10" s="70" t="s">
        <v>59</v>
      </c>
      <c r="F10" s="71" t="s">
        <v>58</v>
      </c>
      <c r="G10" s="70" t="s">
        <v>59</v>
      </c>
      <c r="H10" s="71" t="s">
        <v>58</v>
      </c>
      <c r="I10" s="70" t="s">
        <v>59</v>
      </c>
      <c r="J10" s="71" t="s">
        <v>58</v>
      </c>
      <c r="K10" s="70" t="s">
        <v>59</v>
      </c>
      <c r="L10" s="102" t="s">
        <v>14</v>
      </c>
      <c r="M10" s="71" t="s">
        <v>58</v>
      </c>
      <c r="N10" s="70" t="s">
        <v>59</v>
      </c>
      <c r="O10" s="102" t="s">
        <v>16</v>
      </c>
      <c r="P10" s="102" t="s">
        <v>17</v>
      </c>
      <c r="Q10" s="102" t="s">
        <v>14</v>
      </c>
      <c r="R10" s="4"/>
    </row>
    <row r="11" spans="1:18">
      <c r="A11" s="128"/>
      <c r="B11" s="103"/>
      <c r="C11" s="103"/>
      <c r="D11" s="15" t="s">
        <v>15</v>
      </c>
      <c r="E11" s="15" t="s">
        <v>15</v>
      </c>
      <c r="F11" s="15" t="s">
        <v>15</v>
      </c>
      <c r="G11" s="15" t="s">
        <v>15</v>
      </c>
      <c r="H11" s="15" t="s">
        <v>15</v>
      </c>
      <c r="I11" s="15" t="s">
        <v>15</v>
      </c>
      <c r="J11" s="15" t="s">
        <v>15</v>
      </c>
      <c r="K11" s="15" t="s">
        <v>15</v>
      </c>
      <c r="L11" s="103"/>
      <c r="M11" s="15" t="s">
        <v>15</v>
      </c>
      <c r="N11" s="15" t="s">
        <v>15</v>
      </c>
      <c r="O11" s="103"/>
      <c r="P11" s="103"/>
      <c r="Q11" s="103"/>
    </row>
    <row r="12" spans="1:18">
      <c r="A12" s="27">
        <v>1</v>
      </c>
      <c r="B12" s="28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1:18">
      <c r="A13" s="29">
        <v>2</v>
      </c>
      <c r="B13" s="28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1:18">
      <c r="A14" s="29">
        <v>3</v>
      </c>
      <c r="B14" s="28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1:18">
      <c r="A15" s="29">
        <v>4</v>
      </c>
      <c r="B15" s="28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1:18">
      <c r="A16" s="29">
        <v>5</v>
      </c>
      <c r="B16" s="28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1:17">
      <c r="A17" s="29">
        <v>6</v>
      </c>
      <c r="B17" s="28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1:17">
      <c r="A18" s="29">
        <v>7</v>
      </c>
      <c r="B18" s="28">
        <v>3.8557947368421053E-2</v>
      </c>
      <c r="C18" s="17">
        <v>-1.0147831578947368</v>
      </c>
      <c r="D18" s="17">
        <v>-285.30425821052631</v>
      </c>
      <c r="E18" s="17">
        <v>0</v>
      </c>
      <c r="F18" s="17">
        <v>-58.261275631578954</v>
      </c>
      <c r="G18" s="17">
        <v>0</v>
      </c>
      <c r="H18" s="17">
        <v>-22.598324789473686</v>
      </c>
      <c r="I18" s="17">
        <v>0</v>
      </c>
      <c r="J18" s="17">
        <v>-38.283494894736847</v>
      </c>
      <c r="K18" s="17">
        <v>0</v>
      </c>
      <c r="L18" s="17">
        <v>25.555661421052633</v>
      </c>
      <c r="M18" s="17">
        <v>162.09591063157893</v>
      </c>
      <c r="N18" s="17">
        <v>0</v>
      </c>
      <c r="O18" s="17">
        <v>1559521.75</v>
      </c>
      <c r="P18" s="17">
        <v>13.608720999999999</v>
      </c>
      <c r="Q18" s="17">
        <v>20.473588052631587</v>
      </c>
    </row>
    <row r="19" spans="1:17">
      <c r="A19" s="29">
        <v>8</v>
      </c>
      <c r="B19" s="28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1:17">
      <c r="A20" s="29">
        <v>9</v>
      </c>
      <c r="B20" s="28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1:17">
      <c r="A21" s="29">
        <v>10</v>
      </c>
      <c r="B21" s="28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1:17">
      <c r="A22" s="29">
        <v>11</v>
      </c>
      <c r="B22" s="28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</row>
    <row r="23" spans="1:17">
      <c r="A23" s="29">
        <v>12</v>
      </c>
      <c r="B23" s="28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</row>
    <row r="24" spans="1:17">
      <c r="A24" s="29">
        <v>13</v>
      </c>
      <c r="B24" s="28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</row>
    <row r="25" spans="1:17">
      <c r="A25" s="29">
        <v>14</v>
      </c>
      <c r="B25" s="28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17">
      <c r="A26" s="29">
        <v>15</v>
      </c>
      <c r="B26" s="28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17">
      <c r="A27" s="29">
        <v>16</v>
      </c>
      <c r="B27" s="28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17">
      <c r="A28" s="29">
        <v>17</v>
      </c>
      <c r="B28" s="28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  <row r="29" spans="1:17">
      <c r="A29" s="29">
        <v>18</v>
      </c>
      <c r="B29" s="28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</row>
    <row r="30" spans="1:17">
      <c r="A30" s="29">
        <v>19</v>
      </c>
      <c r="B30" s="28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</row>
    <row r="31" spans="1:17">
      <c r="A31" s="29">
        <v>20</v>
      </c>
      <c r="B31" s="28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</row>
    <row r="32" spans="1:17">
      <c r="A32" s="29">
        <v>21</v>
      </c>
      <c r="B32" s="28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</row>
    <row r="33" spans="1:17">
      <c r="A33" s="29">
        <v>22</v>
      </c>
      <c r="B33" s="28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</row>
    <row r="34" spans="1:17">
      <c r="A34" s="29">
        <v>23</v>
      </c>
      <c r="B34" s="28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</row>
    <row r="35" spans="1:17">
      <c r="A35" s="29">
        <v>24</v>
      </c>
      <c r="B35" s="28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</row>
    <row r="36" spans="1:17">
      <c r="A36" s="29">
        <v>25</v>
      </c>
      <c r="B36" s="28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</row>
    <row r="37" spans="1:17">
      <c r="A37" s="29">
        <v>26</v>
      </c>
      <c r="B37" s="28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</row>
    <row r="38" spans="1:17">
      <c r="A38" s="29">
        <v>27</v>
      </c>
      <c r="B38" s="28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</row>
    <row r="39" spans="1:17">
      <c r="A39" s="29">
        <v>28</v>
      </c>
      <c r="B39" s="28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</row>
    <row r="40" spans="1:17">
      <c r="A40" s="29">
        <v>29</v>
      </c>
      <c r="B40" s="28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</row>
    <row r="41" spans="1:17">
      <c r="A41" s="29">
        <v>30</v>
      </c>
      <c r="B41" s="28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</row>
    <row r="42" spans="1:17">
      <c r="A42" s="30">
        <v>31</v>
      </c>
      <c r="B42" s="28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</row>
    <row r="43" spans="1:17">
      <c r="A43" s="31" t="s">
        <v>41</v>
      </c>
      <c r="B43" s="20">
        <f>IFERROR(IF(AND(ISBLANK(B40),ISBLANK(B41),ISBLANK(B42)),MAX(B12:B39),IF(AND(ISBLANK(B41),ISBLANK(B42)),MAX(B12:B40),IF(ISBLANK(B42),MAX(B12:B41),MAX(B12:B42)))),0)</f>
        <v>3.8557947368421053E-2</v>
      </c>
      <c r="C43" s="20">
        <f t="shared" ref="C43:Q43" si="0">IFERROR(IF(AND(ISBLANK(C40),ISBLANK(C41),ISBLANK(C42)),MAX(C12:C39),IF(AND(ISBLANK(C41),ISBLANK(C42)),MAX(C12:C40),IF(ISBLANK(C42),MAX(C12:C41),MAX(C12:C42)))),0)</f>
        <v>-1.0147831578947368</v>
      </c>
      <c r="D43" s="20">
        <f t="shared" si="0"/>
        <v>-285.30425821052631</v>
      </c>
      <c r="E43" s="20">
        <f t="shared" si="0"/>
        <v>0</v>
      </c>
      <c r="F43" s="20">
        <f t="shared" si="0"/>
        <v>-58.261275631578954</v>
      </c>
      <c r="G43" s="20">
        <f t="shared" si="0"/>
        <v>0</v>
      </c>
      <c r="H43" s="20">
        <f t="shared" si="0"/>
        <v>-22.598324789473686</v>
      </c>
      <c r="I43" s="20">
        <f t="shared" si="0"/>
        <v>0</v>
      </c>
      <c r="J43" s="20">
        <f t="shared" si="0"/>
        <v>-38.283494894736847</v>
      </c>
      <c r="K43" s="20">
        <f t="shared" si="0"/>
        <v>0</v>
      </c>
      <c r="L43" s="20">
        <f t="shared" si="0"/>
        <v>25.555661421052633</v>
      </c>
      <c r="M43" s="20">
        <f t="shared" si="0"/>
        <v>162.09591063157893</v>
      </c>
      <c r="N43" s="20">
        <f t="shared" si="0"/>
        <v>0</v>
      </c>
      <c r="O43" s="20">
        <f t="shared" si="0"/>
        <v>1559521.75</v>
      </c>
      <c r="P43" s="20">
        <f t="shared" si="0"/>
        <v>13.608720999999999</v>
      </c>
      <c r="Q43" s="20">
        <f t="shared" si="0"/>
        <v>20.473588052631587</v>
      </c>
    </row>
    <row r="44" spans="1:17">
      <c r="A44" s="32" t="s">
        <v>42</v>
      </c>
      <c r="B44" s="21">
        <f>IFERROR(IF(AND(ISBLANK(B40),ISBLANK(B41),ISBLANK(B42)),MIN(B12:B39),IF(AND(ISBLANK(B41),ISBLANK(B42)),MIN(B12:B40),IF(ISBLANK(B42),MIN(B12:B41),MIN(B12:B42)))),0)</f>
        <v>3.8557947368421053E-2</v>
      </c>
      <c r="C44" s="21">
        <f t="shared" ref="C44:Q44" si="1">IFERROR(IF(AND(ISBLANK(C40),ISBLANK(C41),ISBLANK(C42)),MIN(C12:C39),IF(AND(ISBLANK(C41),ISBLANK(C42)),MIN(C12:C40),IF(ISBLANK(C42),MIN(C12:C41),MIN(C12:C42)))),0)</f>
        <v>-1.0147831578947368</v>
      </c>
      <c r="D44" s="21">
        <f t="shared" si="1"/>
        <v>-285.30425821052631</v>
      </c>
      <c r="E44" s="21">
        <f t="shared" si="1"/>
        <v>0</v>
      </c>
      <c r="F44" s="21">
        <f t="shared" si="1"/>
        <v>-58.261275631578954</v>
      </c>
      <c r="G44" s="21">
        <f t="shared" si="1"/>
        <v>0</v>
      </c>
      <c r="H44" s="21">
        <f t="shared" si="1"/>
        <v>-22.598324789473686</v>
      </c>
      <c r="I44" s="21">
        <f t="shared" si="1"/>
        <v>0</v>
      </c>
      <c r="J44" s="21">
        <f t="shared" si="1"/>
        <v>-38.283494894736847</v>
      </c>
      <c r="K44" s="21">
        <f t="shared" si="1"/>
        <v>0</v>
      </c>
      <c r="L44" s="21">
        <f t="shared" si="1"/>
        <v>25.555661421052633</v>
      </c>
      <c r="M44" s="21">
        <f t="shared" si="1"/>
        <v>162.09591063157893</v>
      </c>
      <c r="N44" s="21">
        <f t="shared" si="1"/>
        <v>0</v>
      </c>
      <c r="O44" s="21">
        <f t="shared" si="1"/>
        <v>1559521.75</v>
      </c>
      <c r="P44" s="21">
        <f t="shared" si="1"/>
        <v>13.608720999999999</v>
      </c>
      <c r="Q44" s="21">
        <f t="shared" si="1"/>
        <v>20.473588052631587</v>
      </c>
    </row>
    <row r="45" spans="1:17">
      <c r="A45" s="33" t="s">
        <v>43</v>
      </c>
      <c r="B45" s="23">
        <f>IFERROR(IF(AND(ISBLANK(B40),ISBLANK(B41),ISBLANK(B42)),AVERAGE(B12:B39),IF(AND(ISBLANK(B41),ISBLANK(B42)),AVERAGE(B12:B40),IF(ISBLANK(B42),AVERAGE(B12:B41),AVERAGE(B12:B42)))),0)</f>
        <v>3.8557947368421053E-2</v>
      </c>
      <c r="C45" s="23">
        <f t="shared" ref="C45:Q45" si="2">IFERROR(IF(AND(ISBLANK(C40),ISBLANK(C41),ISBLANK(C42)),AVERAGE(C12:C39),IF(AND(ISBLANK(C41),ISBLANK(C42)),AVERAGE(C12:C40),IF(ISBLANK(C42),AVERAGE(C12:C41),AVERAGE(C12:C42)))),0)</f>
        <v>-1.0147831578947368</v>
      </c>
      <c r="D45" s="23">
        <f t="shared" si="2"/>
        <v>-285.30425821052631</v>
      </c>
      <c r="E45" s="23">
        <f t="shared" si="2"/>
        <v>0</v>
      </c>
      <c r="F45" s="23">
        <f t="shared" si="2"/>
        <v>-58.261275631578954</v>
      </c>
      <c r="G45" s="23">
        <f t="shared" si="2"/>
        <v>0</v>
      </c>
      <c r="H45" s="23">
        <f t="shared" si="2"/>
        <v>-22.598324789473686</v>
      </c>
      <c r="I45" s="23">
        <f t="shared" si="2"/>
        <v>0</v>
      </c>
      <c r="J45" s="23">
        <f t="shared" si="2"/>
        <v>-38.283494894736847</v>
      </c>
      <c r="K45" s="23">
        <f t="shared" si="2"/>
        <v>0</v>
      </c>
      <c r="L45" s="23">
        <f t="shared" si="2"/>
        <v>25.555661421052633</v>
      </c>
      <c r="M45" s="23">
        <f t="shared" si="2"/>
        <v>162.09591063157893</v>
      </c>
      <c r="N45" s="23">
        <f t="shared" si="2"/>
        <v>0</v>
      </c>
      <c r="O45" s="23">
        <f t="shared" si="2"/>
        <v>1559521.75</v>
      </c>
      <c r="P45" s="23">
        <f t="shared" si="2"/>
        <v>13.608720999999999</v>
      </c>
      <c r="Q45" s="23">
        <f t="shared" si="2"/>
        <v>20.473588052631587</v>
      </c>
    </row>
    <row r="46" spans="1:17" ht="16.5">
      <c r="A46" s="113" t="s">
        <v>44</v>
      </c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</row>
    <row r="47" spans="1:17" ht="16.5">
      <c r="A47" s="113" t="s">
        <v>45</v>
      </c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</row>
  </sheetData>
  <mergeCells count="29">
    <mergeCell ref="A46:Q46"/>
    <mergeCell ref="A47:Q47"/>
    <mergeCell ref="C1:N1"/>
    <mergeCell ref="O1:P1"/>
    <mergeCell ref="C2:N2"/>
    <mergeCell ref="O2:P2"/>
    <mergeCell ref="C3:N3"/>
    <mergeCell ref="O3:P3"/>
    <mergeCell ref="C4:N4"/>
    <mergeCell ref="O4:P4"/>
    <mergeCell ref="D9:E9"/>
    <mergeCell ref="D8:E8"/>
    <mergeCell ref="F8:G8"/>
    <mergeCell ref="F9:G9"/>
    <mergeCell ref="P10:P11"/>
    <mergeCell ref="Q10:Q11"/>
    <mergeCell ref="C6:F6"/>
    <mergeCell ref="A10:A11"/>
    <mergeCell ref="B10:B11"/>
    <mergeCell ref="C10:C11"/>
    <mergeCell ref="L10:L11"/>
    <mergeCell ref="G6:K6"/>
    <mergeCell ref="O10:O11"/>
    <mergeCell ref="H9:I9"/>
    <mergeCell ref="H8:I8"/>
    <mergeCell ref="J9:K9"/>
    <mergeCell ref="J8:K8"/>
    <mergeCell ref="M9:N9"/>
    <mergeCell ref="M8:N8"/>
  </mergeCells>
  <pageMargins left="0.7" right="0.7" top="0.75" bottom="0.75" header="0.3" footer="0.3"/>
  <pageSetup paperSize="9" orientation="landscape" r:id="rId1"/>
  <drawing r:id="rId2"/>
  <legacyDrawing r:id="rId3"/>
  <controls>
    <control shapeId="2052" r:id="rId4" name="XLSXMCheckBox"/>
    <control shapeId="2051" r:id="rId5" name="PDFMCheckBox"/>
    <control shapeId="2050" r:id="rId6" name="ReportBtn2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B68"/>
  <sheetViews>
    <sheetView tabSelected="1" topLeftCell="A6" workbookViewId="0">
      <selection activeCell="F6" sqref="F6:H6"/>
    </sheetView>
  </sheetViews>
  <sheetFormatPr defaultRowHeight="15"/>
  <cols>
    <col min="1" max="1" width="9" style="61" customWidth="1"/>
    <col min="2" max="8" width="8.42578125" style="6" customWidth="1"/>
    <col min="9" max="10" width="8.42578125" style="60" customWidth="1"/>
    <col min="11" max="17" width="8.42578125" style="6" customWidth="1"/>
    <col min="18" max="20" width="9.140625" style="6"/>
  </cols>
  <sheetData>
    <row r="1" spans="1:68" s="6" customFormat="1" ht="17.25" thickTop="1">
      <c r="A1" s="37"/>
      <c r="B1" s="38"/>
      <c r="C1" s="115" t="s">
        <v>50</v>
      </c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7"/>
      <c r="O1" s="123" t="s">
        <v>51</v>
      </c>
      <c r="P1" s="124"/>
      <c r="Q1" s="42"/>
      <c r="R1" s="46"/>
      <c r="S1" s="46"/>
      <c r="T1" s="57"/>
      <c r="U1" s="57"/>
      <c r="V1" s="57"/>
      <c r="W1" s="57"/>
      <c r="X1" s="57"/>
      <c r="Y1" s="57"/>
      <c r="Z1" s="57"/>
      <c r="AA1" s="107"/>
      <c r="AB1" s="107"/>
      <c r="AC1" s="46"/>
      <c r="AD1" s="46"/>
    </row>
    <row r="2" spans="1:68" s="6" customFormat="1" ht="16.5">
      <c r="A2" s="39"/>
      <c r="B2" s="35"/>
      <c r="C2" s="118" t="s">
        <v>47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20"/>
      <c r="O2" s="125" t="s">
        <v>52</v>
      </c>
      <c r="P2" s="125"/>
      <c r="Q2" s="43"/>
      <c r="R2" s="46"/>
      <c r="S2" s="46"/>
      <c r="T2" s="57"/>
      <c r="U2" s="57"/>
      <c r="V2" s="57"/>
      <c r="W2" s="57"/>
      <c r="X2" s="57"/>
      <c r="Y2" s="57"/>
      <c r="Z2" s="57"/>
      <c r="AA2" s="107"/>
      <c r="AB2" s="107"/>
      <c r="AC2" s="46"/>
      <c r="AD2" s="46"/>
    </row>
    <row r="3" spans="1:68" s="6" customFormat="1" ht="16.5">
      <c r="A3" s="39"/>
      <c r="B3" s="35"/>
      <c r="C3" s="118" t="s">
        <v>48</v>
      </c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20"/>
      <c r="O3" s="125" t="s">
        <v>53</v>
      </c>
      <c r="P3" s="125"/>
      <c r="Q3" s="43"/>
      <c r="R3" s="46"/>
      <c r="U3" s="57"/>
      <c r="V3" s="57"/>
      <c r="W3" s="57"/>
      <c r="X3" s="57"/>
      <c r="Y3" s="57"/>
      <c r="Z3" s="57"/>
      <c r="AA3" s="107"/>
      <c r="AB3" s="107"/>
      <c r="AC3" s="46"/>
      <c r="AD3" s="46"/>
      <c r="BA3" s="45">
        <v>43560</v>
      </c>
      <c r="BB3" s="6">
        <v>22.779999999999987</v>
      </c>
      <c r="BC3" s="6">
        <v>125.86000000000001</v>
      </c>
      <c r="BD3" s="6">
        <v>9</v>
      </c>
      <c r="BE3" s="6">
        <v>82.44000000000004</v>
      </c>
      <c r="BF3" s="6">
        <v>25.540000000000003</v>
      </c>
      <c r="BG3" s="6">
        <v>73.200000000000031</v>
      </c>
      <c r="BH3" s="6">
        <v>2.1899999999999995</v>
      </c>
      <c r="BI3" s="6">
        <v>4.7099999999999973</v>
      </c>
      <c r="BJ3" s="6">
        <v>1294.2799999999995</v>
      </c>
      <c r="BK3" s="6">
        <v>12.360000000000007</v>
      </c>
      <c r="BL3" s="6">
        <v>8.0900000000000016</v>
      </c>
      <c r="BP3" s="45"/>
    </row>
    <row r="4" spans="1:68" s="6" customFormat="1" ht="17.25" thickBot="1">
      <c r="A4" s="40"/>
      <c r="B4" s="41"/>
      <c r="C4" s="121" t="s">
        <v>49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6" t="s">
        <v>54</v>
      </c>
      <c r="P4" s="126"/>
      <c r="Q4" s="44"/>
      <c r="R4" s="46"/>
      <c r="U4" s="57"/>
      <c r="V4" s="57"/>
      <c r="W4" s="57"/>
      <c r="X4" s="57"/>
      <c r="Y4" s="57"/>
      <c r="Z4" s="57"/>
      <c r="AA4" s="107"/>
      <c r="AB4" s="107"/>
      <c r="AC4" s="46"/>
      <c r="AD4" s="46"/>
      <c r="BA4" s="45">
        <v>43561</v>
      </c>
      <c r="BB4" s="6">
        <v>16.550000000000008</v>
      </c>
      <c r="BC4" s="6">
        <v>140.15999999999997</v>
      </c>
      <c r="BD4" s="6">
        <v>0</v>
      </c>
      <c r="BE4" s="6">
        <v>22.44</v>
      </c>
      <c r="BF4" s="6">
        <v>45.840000000000011</v>
      </c>
      <c r="BG4" s="6">
        <v>23.399999999999991</v>
      </c>
      <c r="BH4" s="6">
        <v>5.8499999999999979</v>
      </c>
      <c r="BI4" s="6">
        <v>9.8899999999999935</v>
      </c>
      <c r="BJ4" s="6">
        <v>1388.5800000000008</v>
      </c>
      <c r="BK4" s="6">
        <v>15.680000000000005</v>
      </c>
      <c r="BL4" s="6">
        <v>8.0900000000000016</v>
      </c>
      <c r="BP4" s="45"/>
    </row>
    <row r="5" spans="1:68" s="6" customFormat="1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6"/>
      <c r="R5" s="62"/>
      <c r="U5" s="46"/>
      <c r="V5" s="46"/>
      <c r="W5" s="46"/>
      <c r="X5" s="46"/>
      <c r="Y5" s="46"/>
      <c r="Z5" s="46"/>
      <c r="AA5" s="46"/>
      <c r="AB5" s="46"/>
      <c r="AC5" s="47"/>
      <c r="AD5" s="46"/>
      <c r="BA5" s="45">
        <v>43562</v>
      </c>
      <c r="BB5" s="6">
        <v>22.779999999999987</v>
      </c>
      <c r="BC5" s="6">
        <v>125.86000000000001</v>
      </c>
      <c r="BD5" s="6">
        <v>9</v>
      </c>
      <c r="BE5" s="6">
        <v>82.44000000000004</v>
      </c>
      <c r="BF5" s="6">
        <v>25.540000000000003</v>
      </c>
      <c r="BG5" s="6">
        <v>73.200000000000031</v>
      </c>
      <c r="BH5" s="6">
        <v>2.1899999999999995</v>
      </c>
      <c r="BI5" s="6">
        <v>4.7099999999999973</v>
      </c>
      <c r="BJ5" s="6">
        <v>1294.2799999999995</v>
      </c>
      <c r="BK5" s="6">
        <v>12.360000000000007</v>
      </c>
      <c r="BL5" s="6">
        <v>8.0900000000000016</v>
      </c>
      <c r="BP5" s="45"/>
    </row>
    <row r="6" spans="1:68" s="6" customFormat="1" ht="16.5">
      <c r="A6" s="83"/>
      <c r="B6" s="87"/>
      <c r="C6" s="142" t="s">
        <v>56</v>
      </c>
      <c r="D6" s="142"/>
      <c r="E6" s="142"/>
      <c r="F6" s="143"/>
      <c r="G6" s="144"/>
      <c r="H6" s="144"/>
      <c r="I6" s="142" t="s">
        <v>57</v>
      </c>
      <c r="J6" s="142"/>
      <c r="K6" s="142"/>
      <c r="L6" s="143"/>
      <c r="M6" s="144"/>
      <c r="N6" s="144"/>
      <c r="O6" s="88"/>
      <c r="P6" s="89" t="s">
        <v>1</v>
      </c>
      <c r="Q6" s="90">
        <v>0.95</v>
      </c>
      <c r="R6" s="63"/>
      <c r="U6" s="56"/>
      <c r="V6" s="58"/>
      <c r="W6" s="58"/>
      <c r="X6" s="58"/>
      <c r="Y6" s="48"/>
      <c r="Z6" s="48"/>
      <c r="AA6" s="48"/>
      <c r="AB6" s="49"/>
      <c r="AC6" s="50"/>
      <c r="AD6" s="46"/>
      <c r="BA6" s="45">
        <v>43566</v>
      </c>
      <c r="BB6" s="6">
        <v>71.549999999999969</v>
      </c>
      <c r="BC6" s="6">
        <v>150.15999999999994</v>
      </c>
      <c r="BD6" s="6">
        <v>31.799999999999994</v>
      </c>
      <c r="BE6" s="6">
        <v>79.73</v>
      </c>
      <c r="BF6" s="6">
        <v>97.57999999999997</v>
      </c>
      <c r="BG6" s="6">
        <v>67.700000000000031</v>
      </c>
      <c r="BH6" s="6">
        <v>2.7899999999999996</v>
      </c>
      <c r="BI6" s="6">
        <v>5.2900000000000027</v>
      </c>
      <c r="BJ6" s="6">
        <v>1444.5800000000008</v>
      </c>
      <c r="BK6" s="6">
        <v>75.279999999999987</v>
      </c>
      <c r="BL6" s="6">
        <v>3.7900000000000014</v>
      </c>
      <c r="BP6" s="45"/>
    </row>
    <row r="7" spans="1:68" s="6" customFormat="1" ht="16.5">
      <c r="A7" s="84"/>
      <c r="B7" s="91" t="s">
        <v>2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48"/>
      <c r="U7" s="48"/>
      <c r="V7" s="48"/>
      <c r="W7" s="48"/>
      <c r="X7" s="48"/>
      <c r="Y7" s="48"/>
      <c r="Z7" s="48"/>
      <c r="AA7" s="48"/>
      <c r="AB7" s="48"/>
      <c r="AC7" s="48"/>
      <c r="AD7" s="46"/>
      <c r="BA7" s="45">
        <v>43586</v>
      </c>
      <c r="BB7" s="6">
        <v>30.774999999999974</v>
      </c>
      <c r="BC7" s="6">
        <v>135.39125000000001</v>
      </c>
      <c r="BD7" s="6">
        <v>4.25</v>
      </c>
      <c r="BE7" s="6">
        <v>62.558749999999968</v>
      </c>
      <c r="BF7" s="6">
        <v>37.950416666666698</v>
      </c>
      <c r="BG7" s="6">
        <v>27.950000000000017</v>
      </c>
      <c r="BH7" s="6">
        <v>3.3389583333333355</v>
      </c>
      <c r="BI7" s="6">
        <v>20.82354166666666</v>
      </c>
      <c r="BJ7" s="6">
        <v>1427.6924999999992</v>
      </c>
      <c r="BK7" s="6">
        <v>18.82291666666665</v>
      </c>
      <c r="BL7" s="6">
        <v>306.56541666666675</v>
      </c>
      <c r="BP7" s="45"/>
    </row>
    <row r="8" spans="1:68" s="6" customFormat="1" ht="17.25">
      <c r="A8" s="85"/>
      <c r="B8" s="13">
        <v>1</v>
      </c>
      <c r="C8" s="13">
        <v>2</v>
      </c>
      <c r="D8" s="98">
        <v>3</v>
      </c>
      <c r="E8" s="99"/>
      <c r="F8" s="98">
        <v>4</v>
      </c>
      <c r="G8" s="99"/>
      <c r="H8" s="98">
        <v>5</v>
      </c>
      <c r="I8" s="99"/>
      <c r="J8" s="98">
        <v>6</v>
      </c>
      <c r="K8" s="99"/>
      <c r="L8" s="13">
        <v>7</v>
      </c>
      <c r="M8" s="98">
        <v>8</v>
      </c>
      <c r="N8" s="99"/>
      <c r="O8" s="13">
        <v>9</v>
      </c>
      <c r="P8" s="13">
        <v>10</v>
      </c>
      <c r="Q8" s="13">
        <v>11</v>
      </c>
      <c r="R8" s="51"/>
      <c r="U8" s="51"/>
      <c r="V8" s="51"/>
      <c r="W8" s="51"/>
      <c r="X8" s="51"/>
      <c r="Y8" s="51"/>
      <c r="Z8" s="51"/>
      <c r="AA8" s="51"/>
      <c r="AB8" s="51"/>
      <c r="AC8" s="51"/>
      <c r="AD8" s="46"/>
      <c r="BA8" s="45">
        <v>43587</v>
      </c>
      <c r="BB8" s="6">
        <v>71.399999999999963</v>
      </c>
      <c r="BC8" s="6">
        <v>150.76000000000002</v>
      </c>
      <c r="BD8" s="6">
        <v>31.799999999999994</v>
      </c>
      <c r="BE8" s="6">
        <v>79.73</v>
      </c>
      <c r="BF8" s="6">
        <v>97.57999999999997</v>
      </c>
      <c r="BG8" s="6">
        <v>67.700000000000031</v>
      </c>
      <c r="BH8" s="6">
        <v>2.7899999999999996</v>
      </c>
      <c r="BI8" s="6">
        <v>5.2900000000000027</v>
      </c>
      <c r="BJ8" s="6">
        <v>1444.3549999999996</v>
      </c>
      <c r="BK8" s="6">
        <v>77.529999999999987</v>
      </c>
      <c r="BL8" s="6">
        <v>3.7900000000000014</v>
      </c>
      <c r="BP8" s="45"/>
    </row>
    <row r="9" spans="1:68" s="6" customFormat="1" ht="21">
      <c r="A9" s="86"/>
      <c r="B9" s="14" t="s">
        <v>3</v>
      </c>
      <c r="C9" s="14" t="s">
        <v>4</v>
      </c>
      <c r="D9" s="100" t="s">
        <v>5</v>
      </c>
      <c r="E9" s="101"/>
      <c r="F9" s="100" t="s">
        <v>6</v>
      </c>
      <c r="G9" s="101"/>
      <c r="H9" s="100" t="s">
        <v>7</v>
      </c>
      <c r="I9" s="101"/>
      <c r="J9" s="100" t="s">
        <v>8</v>
      </c>
      <c r="K9" s="101"/>
      <c r="L9" s="14" t="s">
        <v>9</v>
      </c>
      <c r="M9" s="100" t="s">
        <v>10</v>
      </c>
      <c r="N9" s="101"/>
      <c r="O9" s="14" t="s">
        <v>11</v>
      </c>
      <c r="P9" s="14" t="s">
        <v>12</v>
      </c>
      <c r="Q9" s="14" t="s">
        <v>13</v>
      </c>
      <c r="R9" s="52"/>
      <c r="U9" s="52"/>
      <c r="V9" s="52"/>
      <c r="W9" s="52"/>
      <c r="X9" s="52"/>
      <c r="Y9" s="52"/>
      <c r="Z9" s="52"/>
      <c r="AA9" s="52"/>
      <c r="AB9" s="52"/>
      <c r="AC9" s="52"/>
      <c r="AD9" s="53"/>
      <c r="BA9" s="45">
        <v>43588</v>
      </c>
      <c r="BB9" s="6">
        <v>35.400000000000013</v>
      </c>
      <c r="BC9" s="6">
        <v>132.27250000000001</v>
      </c>
      <c r="BD9" s="6">
        <v>5.5</v>
      </c>
      <c r="BE9" s="6">
        <v>72.902500000000046</v>
      </c>
      <c r="BF9" s="6">
        <v>45.210833333333333</v>
      </c>
      <c r="BG9" s="6">
        <v>32.27500000000002</v>
      </c>
      <c r="BH9" s="6">
        <v>3.3029166666666647</v>
      </c>
      <c r="BI9" s="6">
        <v>33.257083333333327</v>
      </c>
      <c r="BJ9" s="6">
        <v>1452.0299999999995</v>
      </c>
      <c r="BK9" s="6">
        <v>20.09083333333334</v>
      </c>
      <c r="BL9" s="6">
        <v>605.79083333333347</v>
      </c>
      <c r="BP9" s="45"/>
    </row>
    <row r="10" spans="1:68" s="6" customFormat="1">
      <c r="A10" s="140" t="s">
        <v>55</v>
      </c>
      <c r="B10" s="102" t="s">
        <v>14</v>
      </c>
      <c r="C10" s="102" t="s">
        <v>15</v>
      </c>
      <c r="D10" s="71" t="s">
        <v>58</v>
      </c>
      <c r="E10" s="70" t="s">
        <v>59</v>
      </c>
      <c r="F10" s="71" t="s">
        <v>58</v>
      </c>
      <c r="G10" s="70" t="s">
        <v>59</v>
      </c>
      <c r="H10" s="71" t="s">
        <v>58</v>
      </c>
      <c r="I10" s="70" t="s">
        <v>59</v>
      </c>
      <c r="J10" s="71" t="s">
        <v>58</v>
      </c>
      <c r="K10" s="70" t="s">
        <v>59</v>
      </c>
      <c r="L10" s="102" t="s">
        <v>14</v>
      </c>
      <c r="M10" s="71" t="s">
        <v>58</v>
      </c>
      <c r="N10" s="70" t="s">
        <v>59</v>
      </c>
      <c r="O10" s="102" t="s">
        <v>16</v>
      </c>
      <c r="P10" s="102" t="s">
        <v>17</v>
      </c>
      <c r="Q10" s="102" t="s">
        <v>14</v>
      </c>
      <c r="R10" s="52"/>
      <c r="U10" s="52"/>
      <c r="V10" s="52"/>
      <c r="W10" s="52"/>
      <c r="X10" s="52"/>
      <c r="Y10" s="52"/>
      <c r="Z10" s="52"/>
      <c r="AA10" s="52"/>
      <c r="AB10" s="52"/>
      <c r="AC10" s="52"/>
      <c r="AD10" s="53"/>
      <c r="BA10" s="45"/>
      <c r="BP10" s="45"/>
    </row>
    <row r="11" spans="1:68" s="6" customFormat="1">
      <c r="A11" s="141"/>
      <c r="B11" s="103"/>
      <c r="C11" s="103"/>
      <c r="D11" s="72" t="s">
        <v>15</v>
      </c>
      <c r="E11" s="72" t="s">
        <v>15</v>
      </c>
      <c r="F11" s="72" t="s">
        <v>15</v>
      </c>
      <c r="G11" s="72" t="s">
        <v>15</v>
      </c>
      <c r="H11" s="72" t="s">
        <v>15</v>
      </c>
      <c r="I11" s="72" t="s">
        <v>15</v>
      </c>
      <c r="J11" s="72" t="s">
        <v>15</v>
      </c>
      <c r="K11" s="72" t="s">
        <v>15</v>
      </c>
      <c r="L11" s="103"/>
      <c r="M11" s="72" t="s">
        <v>15</v>
      </c>
      <c r="N11" s="72" t="s">
        <v>15</v>
      </c>
      <c r="O11" s="103"/>
      <c r="P11" s="103"/>
      <c r="Q11" s="103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46"/>
      <c r="BA11" s="45">
        <v>43590</v>
      </c>
      <c r="BB11" s="6">
        <v>22.779999999999987</v>
      </c>
      <c r="BC11" s="6">
        <v>125.86000000000001</v>
      </c>
      <c r="BD11" s="6">
        <v>9</v>
      </c>
      <c r="BE11" s="6">
        <v>82.215000000000046</v>
      </c>
      <c r="BF11" s="6">
        <v>25.540000000000003</v>
      </c>
      <c r="BG11" s="6">
        <v>73.200000000000031</v>
      </c>
      <c r="BH11" s="6">
        <v>2.1899999999999995</v>
      </c>
      <c r="BI11" s="6">
        <v>4.7099999999999973</v>
      </c>
      <c r="BJ11" s="6">
        <v>1294.2799999999995</v>
      </c>
      <c r="BK11" s="6">
        <v>12.360000000000007</v>
      </c>
      <c r="BL11" s="6">
        <v>7.3400000000000025</v>
      </c>
      <c r="BP11" s="45"/>
    </row>
    <row r="12" spans="1:68" s="6" customFormat="1">
      <c r="A12" s="6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46"/>
      <c r="BA12" s="45"/>
      <c r="BP12" s="45"/>
    </row>
    <row r="13" spans="1:68" s="6" customFormat="1">
      <c r="A13" s="66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46"/>
      <c r="BA13" s="45"/>
      <c r="BP13" s="45"/>
    </row>
    <row r="14" spans="1:68" s="6" customFormat="1">
      <c r="A14" s="66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46"/>
      <c r="BA14" s="45"/>
      <c r="BP14" s="45"/>
    </row>
    <row r="15" spans="1:68" s="6" customFormat="1">
      <c r="A15" s="66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46"/>
      <c r="BA15" s="45"/>
      <c r="BP15" s="45"/>
    </row>
    <row r="16" spans="1:68" s="6" customFormat="1">
      <c r="A16" s="66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46"/>
      <c r="BA16" s="45"/>
      <c r="BP16" s="45"/>
    </row>
    <row r="17" spans="1:79" s="6" customFormat="1">
      <c r="A17" s="66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82"/>
      <c r="S17" s="82"/>
      <c r="T17" s="82"/>
      <c r="U17" s="82"/>
      <c r="V17" s="82"/>
      <c r="W17" s="82"/>
      <c r="X17" s="82"/>
      <c r="Y17" s="82"/>
      <c r="Z17" s="82"/>
      <c r="AA17" s="82"/>
      <c r="AB17" s="82"/>
      <c r="AC17" s="82"/>
      <c r="AD17" s="46"/>
      <c r="BA17" s="45"/>
      <c r="BP17" s="45"/>
    </row>
    <row r="18" spans="1:79" s="6" customFormat="1">
      <c r="A18" s="66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82"/>
      <c r="S18" s="82"/>
      <c r="T18" s="82"/>
      <c r="U18" s="82"/>
      <c r="V18" s="82"/>
      <c r="W18" s="82"/>
      <c r="X18" s="82"/>
      <c r="Y18" s="82"/>
      <c r="Z18" s="82"/>
      <c r="AA18" s="82"/>
      <c r="AB18" s="82"/>
      <c r="AC18" s="82"/>
      <c r="AD18" s="46"/>
      <c r="BA18" s="45"/>
      <c r="BP18" s="45"/>
    </row>
    <row r="19" spans="1:79" s="6" customFormat="1">
      <c r="A19" s="66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  <c r="AC19" s="82"/>
      <c r="AD19" s="46"/>
      <c r="BA19" s="45"/>
      <c r="BP19" s="45"/>
    </row>
    <row r="20" spans="1:79" s="6" customFormat="1">
      <c r="A20" s="66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  <c r="AC20" s="82"/>
      <c r="AD20" s="46"/>
      <c r="BA20" s="45"/>
      <c r="BP20" s="45"/>
    </row>
    <row r="21" spans="1:79" s="6" customFormat="1">
      <c r="A21" s="66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46"/>
      <c r="BA21" s="45"/>
      <c r="BP21" s="45"/>
    </row>
    <row r="22" spans="1:79" s="6" customFormat="1">
      <c r="A22" s="65" t="s">
        <v>41</v>
      </c>
      <c r="B22" s="20">
        <f>IFERROR(MAX(B12:B21),0)</f>
        <v>0</v>
      </c>
      <c r="C22" s="20">
        <f>IFERROR(MAX(C12:C21),0)</f>
        <v>0</v>
      </c>
      <c r="D22" s="20">
        <f>IFERROR(MAX(D12:D21),0)</f>
        <v>0</v>
      </c>
      <c r="E22" s="20">
        <f>IFERROR(MAX(E12:E21),0)</f>
        <v>0</v>
      </c>
      <c r="F22" s="20">
        <f>IFERROR(MAX(F12:F21),0)</f>
        <v>0</v>
      </c>
      <c r="G22" s="20">
        <f>IFERROR(MAX(G12:G21),0)</f>
        <v>0</v>
      </c>
      <c r="H22" s="20">
        <f>IFERROR(MAX(H12:H21),0)</f>
        <v>0</v>
      </c>
      <c r="I22" s="20">
        <f>IFERROR(MAX(I12:I21),0)</f>
        <v>0</v>
      </c>
      <c r="J22" s="20">
        <f>IFERROR(MAX(J12:J21),0)</f>
        <v>0</v>
      </c>
      <c r="K22" s="20">
        <f>IFERROR(MAX(K12:K21),0)</f>
        <v>0</v>
      </c>
      <c r="L22" s="20">
        <f>IFERROR(MAX(L12:L21),0)</f>
        <v>0</v>
      </c>
      <c r="M22" s="20">
        <f>IFERROR(MAX(M12:M21),0)</f>
        <v>0</v>
      </c>
      <c r="N22" s="20">
        <f>IFERROR(MAX(N12:N21),0)</f>
        <v>0</v>
      </c>
      <c r="O22" s="20">
        <f>IFERROR(MAX(O12:O21),0)</f>
        <v>0</v>
      </c>
      <c r="P22" s="20">
        <f>IFERROR(MAX(P12:P21),0)</f>
        <v>0</v>
      </c>
      <c r="Q22" s="20">
        <f>IFERROR(MAX(Q12:Q21),0)</f>
        <v>0</v>
      </c>
      <c r="R22" s="64"/>
      <c r="S22" s="55"/>
      <c r="T22" s="55"/>
      <c r="U22" s="55"/>
      <c r="V22" s="55"/>
      <c r="W22" s="55"/>
      <c r="X22" s="55"/>
      <c r="Y22" s="55"/>
      <c r="Z22" s="55"/>
      <c r="AA22" s="55"/>
      <c r="AB22" s="55"/>
      <c r="AC22" s="55"/>
      <c r="AD22" s="46"/>
      <c r="BB22" s="45">
        <v>43560</v>
      </c>
      <c r="BC22" s="6">
        <v>22.779999999999987</v>
      </c>
      <c r="BD22" s="6">
        <v>125.86000000000001</v>
      </c>
      <c r="BE22" s="6">
        <v>9</v>
      </c>
      <c r="BF22" s="6">
        <v>82.44000000000004</v>
      </c>
      <c r="BG22" s="6">
        <v>25.540000000000003</v>
      </c>
      <c r="BH22" s="6">
        <v>73.200000000000031</v>
      </c>
      <c r="BI22" s="6">
        <v>2.1899999999999995</v>
      </c>
      <c r="BJ22" s="6">
        <v>4.7099999999999973</v>
      </c>
      <c r="BK22" s="6">
        <v>1294.2799999999995</v>
      </c>
      <c r="BL22" s="6">
        <v>12.360000000000007</v>
      </c>
      <c r="BM22" s="6">
        <v>8.0900000000000016</v>
      </c>
      <c r="BP22" s="45">
        <v>43590</v>
      </c>
      <c r="BQ22" s="45">
        <v>22.779999999999987</v>
      </c>
      <c r="BR22" s="6">
        <v>125.86000000000001</v>
      </c>
      <c r="BS22" s="6">
        <v>9</v>
      </c>
      <c r="BT22" s="6">
        <v>82.215000000000046</v>
      </c>
      <c r="BU22" s="6">
        <v>25.540000000000003</v>
      </c>
      <c r="BV22" s="6">
        <v>73.200000000000031</v>
      </c>
      <c r="BW22" s="6">
        <v>2.1899999999999995</v>
      </c>
      <c r="BX22" s="6">
        <v>4.7099999999999973</v>
      </c>
      <c r="BY22" s="6">
        <v>1294.2799999999995</v>
      </c>
      <c r="BZ22" s="6">
        <v>12.360000000000007</v>
      </c>
      <c r="CA22" s="6">
        <v>7.3400000000000025</v>
      </c>
    </row>
    <row r="23" spans="1:79" s="6" customFormat="1">
      <c r="A23" s="19" t="s">
        <v>42</v>
      </c>
      <c r="B23" s="21">
        <f>IFERROR(MIN(B12:B21),0)</f>
        <v>0</v>
      </c>
      <c r="C23" s="21">
        <f>IFERROR(MIN(C12:C21),0)</f>
        <v>0</v>
      </c>
      <c r="D23" s="21">
        <f>IFERROR(MIN(D12:D21),0)</f>
        <v>0</v>
      </c>
      <c r="E23" s="21">
        <f>IFERROR(MIN(E12:E21),0)</f>
        <v>0</v>
      </c>
      <c r="F23" s="21">
        <f>IFERROR(MIN(F12:F21),0)</f>
        <v>0</v>
      </c>
      <c r="G23" s="21">
        <f>IFERROR(MIN(G12:G21),0)</f>
        <v>0</v>
      </c>
      <c r="H23" s="21">
        <f>IFERROR(MIN(H12:H21),0)</f>
        <v>0</v>
      </c>
      <c r="I23" s="21">
        <f>IFERROR(MIN(I12:I21),0)</f>
        <v>0</v>
      </c>
      <c r="J23" s="21">
        <f>IFERROR(MIN(J12:J21),0)</f>
        <v>0</v>
      </c>
      <c r="K23" s="21">
        <f>IFERROR(MIN(K12:K21),0)</f>
        <v>0</v>
      </c>
      <c r="L23" s="21">
        <f>IFERROR(MIN(L12:L21),0)</f>
        <v>0</v>
      </c>
      <c r="M23" s="21">
        <f>IFERROR(MIN(M12:M21),0)</f>
        <v>0</v>
      </c>
      <c r="N23" s="21">
        <f>IFERROR(MIN(N12:N21),0)</f>
        <v>0</v>
      </c>
      <c r="O23" s="21">
        <f>IFERROR(MIN(O12:O21),0)</f>
        <v>0</v>
      </c>
      <c r="P23" s="21">
        <f>IFERROR(MIN(P12:P21),0)</f>
        <v>0</v>
      </c>
      <c r="Q23" s="21">
        <f>IFERROR(MIN(Q12:Q21),0)</f>
        <v>0</v>
      </c>
      <c r="R23" s="64"/>
      <c r="S23" s="55"/>
      <c r="T23" s="55"/>
      <c r="U23" s="55"/>
      <c r="V23" s="55"/>
      <c r="W23" s="55"/>
      <c r="X23" s="55"/>
      <c r="Y23" s="55"/>
      <c r="Z23" s="55"/>
      <c r="AA23" s="55"/>
      <c r="AB23" s="55"/>
      <c r="AC23" s="55"/>
      <c r="AD23" s="46"/>
      <c r="BB23" s="45">
        <v>43561</v>
      </c>
      <c r="BC23" s="6">
        <v>16.550000000000008</v>
      </c>
      <c r="BD23" s="6">
        <v>140.15999999999997</v>
      </c>
      <c r="BE23" s="6">
        <v>0</v>
      </c>
      <c r="BF23" s="6">
        <v>22.44</v>
      </c>
      <c r="BG23" s="6">
        <v>45.840000000000011</v>
      </c>
      <c r="BH23" s="6">
        <v>23.399999999999991</v>
      </c>
      <c r="BI23" s="6">
        <v>5.8499999999999979</v>
      </c>
      <c r="BJ23" s="6">
        <v>9.8899999999999935</v>
      </c>
      <c r="BK23" s="6">
        <v>1388.5800000000008</v>
      </c>
      <c r="BL23" s="6">
        <v>15.680000000000005</v>
      </c>
      <c r="BM23" s="6">
        <v>8.0900000000000016</v>
      </c>
      <c r="BP23" s="45">
        <v>43591</v>
      </c>
      <c r="BQ23" s="45">
        <v>26.150000000000009</v>
      </c>
      <c r="BR23" s="6">
        <v>138.51000000000002</v>
      </c>
      <c r="BS23" s="6">
        <v>3</v>
      </c>
      <c r="BT23" s="6">
        <v>52.215000000000011</v>
      </c>
      <c r="BU23" s="6">
        <v>30.689999999999994</v>
      </c>
      <c r="BV23" s="6">
        <v>23.625</v>
      </c>
      <c r="BW23" s="6">
        <v>3.3749999999999982</v>
      </c>
      <c r="BX23" s="6">
        <v>8.3899999999999952</v>
      </c>
      <c r="BY23" s="6">
        <v>1403.3549999999996</v>
      </c>
      <c r="BZ23" s="6">
        <v>17.555000000000003</v>
      </c>
      <c r="CA23" s="6">
        <v>7.3400000000000025</v>
      </c>
    </row>
    <row r="24" spans="1:79" s="6" customFormat="1">
      <c r="A24" s="22" t="s">
        <v>43</v>
      </c>
      <c r="B24" s="23">
        <f>IFERROR(AVERAGE(B12:B21),0)</f>
        <v>0</v>
      </c>
      <c r="C24" s="23">
        <f>IFERROR(AVERAGE(C12:C21),0)</f>
        <v>0</v>
      </c>
      <c r="D24" s="23">
        <f>IFERROR(AVERAGE(D12:D21),0)</f>
        <v>0</v>
      </c>
      <c r="E24" s="23">
        <f>IFERROR(AVERAGE(E12:E21),0)</f>
        <v>0</v>
      </c>
      <c r="F24" s="23">
        <f>IFERROR(AVERAGE(F12:F21),0)</f>
        <v>0</v>
      </c>
      <c r="G24" s="23">
        <f>IFERROR(AVERAGE(G12:G21),0)</f>
        <v>0</v>
      </c>
      <c r="H24" s="23">
        <f>IFERROR(AVERAGE(H12:H21),0)</f>
        <v>0</v>
      </c>
      <c r="I24" s="23">
        <f>IFERROR(AVERAGE(I12:I21),0)</f>
        <v>0</v>
      </c>
      <c r="J24" s="23">
        <f>IFERROR(AVERAGE(J12:J21),0)</f>
        <v>0</v>
      </c>
      <c r="K24" s="23">
        <f>IFERROR(AVERAGE(K12:K21),0)</f>
        <v>0</v>
      </c>
      <c r="L24" s="23">
        <f>IFERROR(AVERAGE(L12:L21),0)</f>
        <v>0</v>
      </c>
      <c r="M24" s="23">
        <f>IFERROR(AVERAGE(M12:M21),0)</f>
        <v>0</v>
      </c>
      <c r="N24" s="23">
        <f>IFERROR(AVERAGE(N12:N21),0)</f>
        <v>0</v>
      </c>
      <c r="O24" s="23">
        <f>IFERROR(AVERAGE(O12:O21),0)</f>
        <v>0</v>
      </c>
      <c r="P24" s="23">
        <f>IFERROR(AVERAGE(P12:P21),0)</f>
        <v>0</v>
      </c>
      <c r="Q24" s="23">
        <f>IFERROR(AVERAGE(Q12:Q21),0)</f>
        <v>0</v>
      </c>
      <c r="R24" s="64"/>
      <c r="S24" s="55"/>
      <c r="T24" s="55"/>
      <c r="U24" s="55"/>
      <c r="V24" s="55"/>
      <c r="W24" s="55"/>
      <c r="X24" s="55"/>
      <c r="Y24" s="55"/>
      <c r="Z24" s="55"/>
      <c r="AA24" s="55"/>
      <c r="AB24" s="55"/>
      <c r="AC24" s="55"/>
      <c r="AD24" s="46"/>
      <c r="BB24" s="45">
        <v>43562</v>
      </c>
      <c r="BC24" s="6">
        <v>22.779999999999987</v>
      </c>
      <c r="BD24" s="6">
        <v>125.86000000000001</v>
      </c>
      <c r="BE24" s="6">
        <v>9</v>
      </c>
      <c r="BF24" s="6">
        <v>82.44000000000004</v>
      </c>
      <c r="BG24" s="6">
        <v>25.540000000000003</v>
      </c>
      <c r="BH24" s="6">
        <v>73.200000000000031</v>
      </c>
      <c r="BI24" s="6">
        <v>2.1899999999999995</v>
      </c>
      <c r="BJ24" s="6">
        <v>4.7099999999999973</v>
      </c>
      <c r="BK24" s="6">
        <v>1294.2799999999995</v>
      </c>
      <c r="BL24" s="6">
        <v>12.360000000000007</v>
      </c>
      <c r="BM24" s="6">
        <v>8.0900000000000016</v>
      </c>
      <c r="BP24" s="45">
        <v>43592</v>
      </c>
      <c r="BQ24" s="45">
        <v>22.779999999999987</v>
      </c>
      <c r="BR24" s="6">
        <v>125.86000000000001</v>
      </c>
      <c r="BS24" s="6">
        <v>9</v>
      </c>
      <c r="BT24" s="6">
        <v>82.215000000000046</v>
      </c>
      <c r="BU24" s="6">
        <v>25.540000000000003</v>
      </c>
      <c r="BV24" s="6">
        <v>73.200000000000031</v>
      </c>
      <c r="BW24" s="6">
        <v>2.1899999999999995</v>
      </c>
      <c r="BX24" s="6">
        <v>4.7099999999999973</v>
      </c>
      <c r="BY24" s="6">
        <v>1294.2799999999995</v>
      </c>
      <c r="BZ24" s="6">
        <v>12.360000000000007</v>
      </c>
      <c r="CA24" s="6">
        <v>7.3400000000000025</v>
      </c>
    </row>
    <row r="25" spans="1:79" s="6" customFormat="1" ht="16.5">
      <c r="A25" s="113" t="s">
        <v>44</v>
      </c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67"/>
      <c r="S25" s="68"/>
      <c r="T25" s="68"/>
      <c r="U25" s="68"/>
      <c r="V25" s="68"/>
      <c r="W25" s="68"/>
      <c r="X25" s="68"/>
      <c r="Y25" s="68"/>
      <c r="Z25" s="68"/>
      <c r="AA25" s="68"/>
      <c r="AB25" s="68"/>
      <c r="AC25" s="68"/>
      <c r="AD25" s="46"/>
      <c r="BB25" s="45">
        <v>43566</v>
      </c>
      <c r="BC25" s="6">
        <v>71.549999999999969</v>
      </c>
      <c r="BD25" s="6">
        <v>150.15999999999994</v>
      </c>
      <c r="BE25" s="6">
        <v>31.799999999999994</v>
      </c>
      <c r="BF25" s="6">
        <v>79.73</v>
      </c>
      <c r="BG25" s="6">
        <v>97.57999999999997</v>
      </c>
      <c r="BH25" s="6">
        <v>67.700000000000031</v>
      </c>
      <c r="BI25" s="6">
        <v>2.7899999999999996</v>
      </c>
      <c r="BJ25" s="6">
        <v>5.2900000000000027</v>
      </c>
      <c r="BK25" s="6">
        <v>1444.5800000000008</v>
      </c>
      <c r="BL25" s="6">
        <v>75.279999999999987</v>
      </c>
      <c r="BM25" s="6">
        <v>3.7900000000000014</v>
      </c>
      <c r="BP25" s="45">
        <v>43596</v>
      </c>
      <c r="BQ25" s="45">
        <v>71.399999999999963</v>
      </c>
      <c r="BR25" s="6">
        <v>150.76000000000002</v>
      </c>
      <c r="BS25" s="6">
        <v>31.799999999999994</v>
      </c>
      <c r="BT25" s="6">
        <v>79.73</v>
      </c>
      <c r="BU25" s="6">
        <v>97.57999999999997</v>
      </c>
      <c r="BV25" s="6">
        <v>67.700000000000031</v>
      </c>
      <c r="BW25" s="6">
        <v>2.7899999999999996</v>
      </c>
      <c r="BX25" s="6">
        <v>5.2900000000000027</v>
      </c>
      <c r="BY25" s="6">
        <v>1444.3549999999996</v>
      </c>
      <c r="BZ25" s="6">
        <v>77.529999999999987</v>
      </c>
      <c r="CA25" s="6">
        <v>3.7900000000000014</v>
      </c>
    </row>
    <row r="26" spans="1:79" s="6" customFormat="1" ht="16.5">
      <c r="A26" s="113" t="s">
        <v>45</v>
      </c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67"/>
      <c r="S26" s="68"/>
      <c r="T26" s="68"/>
      <c r="U26" s="68"/>
      <c r="V26" s="68"/>
      <c r="W26" s="68"/>
      <c r="X26" s="68"/>
      <c r="Y26" s="68"/>
      <c r="Z26" s="68"/>
      <c r="AA26" s="68"/>
      <c r="AB26" s="68"/>
      <c r="AC26" s="68"/>
      <c r="AD26" s="46"/>
      <c r="BB26" s="45">
        <v>43586</v>
      </c>
      <c r="BC26" s="6">
        <v>30.774999999999974</v>
      </c>
      <c r="BD26" s="6">
        <v>135.39125000000001</v>
      </c>
      <c r="BE26" s="6">
        <v>4.25</v>
      </c>
      <c r="BF26" s="6">
        <v>62.558749999999968</v>
      </c>
      <c r="BG26" s="6">
        <v>37.950416666666698</v>
      </c>
      <c r="BH26" s="6">
        <v>27.950000000000017</v>
      </c>
      <c r="BI26" s="6">
        <v>3.3389583333333355</v>
      </c>
      <c r="BJ26" s="6">
        <v>20.82354166666666</v>
      </c>
      <c r="BK26" s="6">
        <v>1427.6924999999992</v>
      </c>
      <c r="BL26" s="6">
        <v>18.82291666666665</v>
      </c>
      <c r="BM26" s="6">
        <v>306.56541666666675</v>
      </c>
      <c r="BP26" s="45">
        <v>43617</v>
      </c>
      <c r="BQ26" s="45">
        <v>499069.32200559956</v>
      </c>
      <c r="BR26" s="6">
        <v>494811.03891474445</v>
      </c>
      <c r="BS26" s="6">
        <v>500109.81895517814</v>
      </c>
      <c r="BT26" s="6">
        <v>409363.75204226334</v>
      </c>
      <c r="BU26" s="6">
        <v>377244.36799859256</v>
      </c>
      <c r="BV26" s="6">
        <v>1409543.3896418572</v>
      </c>
      <c r="BW26" s="6">
        <v>1409570.3873183776</v>
      </c>
      <c r="BX26" s="6">
        <v>472086.04064754222</v>
      </c>
      <c r="BY26" s="6">
        <v>250054.72734948201</v>
      </c>
      <c r="BZ26" s="6">
        <v>500101.82002547465</v>
      </c>
      <c r="CA26" s="6">
        <v>500049.82199958782</v>
      </c>
    </row>
    <row r="27" spans="1:79" s="6" customFormat="1">
      <c r="A27" s="61"/>
      <c r="I27" s="60"/>
      <c r="J27" s="60"/>
      <c r="S27" s="46"/>
      <c r="T27" s="46"/>
      <c r="U27" s="46"/>
      <c r="V27" s="46"/>
      <c r="W27" s="46"/>
      <c r="X27" s="46"/>
      <c r="Y27" s="46"/>
      <c r="Z27" s="46"/>
      <c r="AA27" s="46"/>
      <c r="AB27" s="46"/>
      <c r="BA27" s="45">
        <v>43587</v>
      </c>
      <c r="BB27" s="6">
        <v>71.399999999999963</v>
      </c>
      <c r="BC27" s="6">
        <v>150.76000000000002</v>
      </c>
      <c r="BD27" s="6">
        <v>31.799999999999994</v>
      </c>
      <c r="BE27" s="6">
        <v>79.73</v>
      </c>
      <c r="BF27" s="6">
        <v>97.57999999999997</v>
      </c>
      <c r="BG27" s="6">
        <v>67.700000000000031</v>
      </c>
      <c r="BH27" s="6">
        <v>2.7899999999999996</v>
      </c>
      <c r="BI27" s="6">
        <v>5.2900000000000027</v>
      </c>
      <c r="BJ27" s="6">
        <v>1444.3549999999996</v>
      </c>
      <c r="BK27" s="6">
        <v>77.529999999999987</v>
      </c>
      <c r="BL27" s="6">
        <v>3.7900000000000014</v>
      </c>
      <c r="BP27" s="45">
        <v>43618</v>
      </c>
      <c r="BQ27" s="6">
        <v>71.34999999999998</v>
      </c>
      <c r="BR27" s="6">
        <v>150.96</v>
      </c>
      <c r="BS27" s="6">
        <v>31.799999999999994</v>
      </c>
      <c r="BT27" s="6">
        <v>79.73</v>
      </c>
      <c r="BU27" s="6">
        <v>97.57999999999997</v>
      </c>
      <c r="BV27" s="6">
        <v>67.700000000000031</v>
      </c>
      <c r="BW27" s="6">
        <v>2.7899999999999996</v>
      </c>
      <c r="BX27" s="6">
        <v>5.2900000000000027</v>
      </c>
      <c r="BY27" s="6">
        <v>1444.2799999999997</v>
      </c>
      <c r="BZ27" s="6">
        <v>78.279999999999987</v>
      </c>
      <c r="CA27" s="6">
        <v>3.7900000000000014</v>
      </c>
    </row>
    <row r="28" spans="1:79">
      <c r="S28" s="46"/>
      <c r="T28" s="46"/>
      <c r="U28" s="46"/>
      <c r="V28" s="46"/>
      <c r="W28" s="46"/>
      <c r="X28" s="46"/>
      <c r="Y28" s="46"/>
      <c r="Z28" s="46"/>
      <c r="AA28" s="46"/>
      <c r="AB28" s="46"/>
      <c r="BA28" s="45">
        <v>43588</v>
      </c>
      <c r="BB28">
        <v>35.400000000000013</v>
      </c>
      <c r="BC28">
        <v>132.27250000000001</v>
      </c>
      <c r="BD28">
        <v>5.5</v>
      </c>
      <c r="BE28">
        <v>72.902500000000046</v>
      </c>
      <c r="BF28">
        <v>45.210833333333333</v>
      </c>
      <c r="BG28">
        <v>32.27500000000002</v>
      </c>
      <c r="BH28">
        <v>3.3029166666666647</v>
      </c>
      <c r="BI28">
        <v>33.257083333333327</v>
      </c>
      <c r="BJ28">
        <v>1452.0299999999995</v>
      </c>
      <c r="BK28">
        <v>20.09083333333334</v>
      </c>
      <c r="BL28">
        <v>605.79083333333347</v>
      </c>
      <c r="BP28" s="45">
        <v>43619</v>
      </c>
      <c r="BQ28">
        <v>29.350000000000012</v>
      </c>
      <c r="BR28">
        <v>137.96</v>
      </c>
      <c r="BS28">
        <v>4</v>
      </c>
      <c r="BT28">
        <v>62.140000000000022</v>
      </c>
      <c r="BU28">
        <v>25.63999999999999</v>
      </c>
      <c r="BV28">
        <v>23.7</v>
      </c>
      <c r="BW28">
        <v>2.5499999999999989</v>
      </c>
      <c r="BX28">
        <v>7.8899999999999961</v>
      </c>
      <c r="BY28">
        <v>1408.2799999999997</v>
      </c>
      <c r="BZ28">
        <v>18.180000000000003</v>
      </c>
      <c r="CA28">
        <v>7.0900000000000025</v>
      </c>
    </row>
    <row r="29" spans="1:79">
      <c r="S29" s="46"/>
      <c r="T29" s="46"/>
      <c r="U29" s="46"/>
      <c r="V29" s="46"/>
      <c r="W29" s="46"/>
      <c r="X29" s="46"/>
      <c r="Y29" s="46"/>
      <c r="Z29" s="46"/>
      <c r="AA29" s="46"/>
      <c r="AB29" s="46"/>
      <c r="BA29" s="45">
        <v>43590</v>
      </c>
      <c r="BB29">
        <v>22.779999999999987</v>
      </c>
      <c r="BC29">
        <v>125.86000000000001</v>
      </c>
      <c r="BD29">
        <v>9</v>
      </c>
      <c r="BE29">
        <v>82.215000000000046</v>
      </c>
      <c r="BF29">
        <v>25.540000000000003</v>
      </c>
      <c r="BG29">
        <v>73.200000000000031</v>
      </c>
      <c r="BH29">
        <v>2.1899999999999995</v>
      </c>
      <c r="BI29">
        <v>4.7099999999999973</v>
      </c>
      <c r="BJ29">
        <v>1294.2799999999995</v>
      </c>
      <c r="BK29">
        <v>12.360000000000007</v>
      </c>
      <c r="BL29">
        <v>7.3400000000000025</v>
      </c>
      <c r="BP29" s="45">
        <v>43621</v>
      </c>
      <c r="BQ29">
        <v>22.779999999999987</v>
      </c>
      <c r="BR29">
        <v>125.86000000000001</v>
      </c>
      <c r="BS29">
        <v>9</v>
      </c>
      <c r="BT29">
        <v>82.140000000000043</v>
      </c>
      <c r="BU29">
        <v>25.540000000000003</v>
      </c>
      <c r="BV29">
        <v>73.200000000000031</v>
      </c>
      <c r="BW29">
        <v>2.1899999999999995</v>
      </c>
      <c r="BX29">
        <v>4.7099999999999973</v>
      </c>
      <c r="BY29">
        <v>1294.2799999999995</v>
      </c>
      <c r="BZ29">
        <v>12.360000000000007</v>
      </c>
      <c r="CA29">
        <v>7.0900000000000025</v>
      </c>
    </row>
    <row r="30" spans="1:79">
      <c r="S30" s="46"/>
      <c r="T30" s="46"/>
      <c r="U30" s="46"/>
      <c r="V30" s="46"/>
      <c r="W30" s="46"/>
      <c r="X30" s="46"/>
      <c r="Y30" s="46"/>
      <c r="Z30" s="46"/>
      <c r="AA30" s="46"/>
      <c r="AB30" s="46"/>
      <c r="BA30" s="45">
        <v>43591</v>
      </c>
      <c r="BB30">
        <v>26.150000000000009</v>
      </c>
      <c r="BC30">
        <v>138.51000000000002</v>
      </c>
      <c r="BD30">
        <v>3</v>
      </c>
      <c r="BE30">
        <v>52.215000000000011</v>
      </c>
      <c r="BF30">
        <v>30.689999999999994</v>
      </c>
      <c r="BG30">
        <v>23.625</v>
      </c>
      <c r="BH30">
        <v>3.3749999999999982</v>
      </c>
      <c r="BI30">
        <v>8.3899999999999952</v>
      </c>
      <c r="BJ30">
        <v>1403.3549999999996</v>
      </c>
      <c r="BK30">
        <v>17.555000000000003</v>
      </c>
      <c r="BL30">
        <v>7.3400000000000025</v>
      </c>
      <c r="BP30" s="45">
        <v>43622</v>
      </c>
      <c r="BQ30">
        <v>29.350000000000012</v>
      </c>
      <c r="BR30">
        <v>137.96</v>
      </c>
      <c r="BS30">
        <v>4</v>
      </c>
      <c r="BT30">
        <v>62.140000000000022</v>
      </c>
      <c r="BU30">
        <v>25.63999999999999</v>
      </c>
      <c r="BV30">
        <v>23.7</v>
      </c>
      <c r="BW30">
        <v>2.5499999999999989</v>
      </c>
      <c r="BX30">
        <v>7.8899999999999961</v>
      </c>
      <c r="BY30">
        <v>1408.2799999999997</v>
      </c>
      <c r="BZ30">
        <v>18.180000000000003</v>
      </c>
      <c r="CA30">
        <v>7.0900000000000025</v>
      </c>
    </row>
    <row r="31" spans="1:79">
      <c r="S31" s="46"/>
      <c r="T31" s="46"/>
      <c r="U31" s="46"/>
      <c r="V31" s="46"/>
      <c r="W31" s="46"/>
      <c r="X31" s="46"/>
      <c r="Y31" s="46"/>
      <c r="Z31" s="46"/>
      <c r="AA31" s="46"/>
      <c r="AB31" s="46"/>
      <c r="BA31" s="45">
        <v>43592</v>
      </c>
      <c r="BB31">
        <v>22.779999999999987</v>
      </c>
      <c r="BC31">
        <v>125.86000000000001</v>
      </c>
      <c r="BD31">
        <v>9</v>
      </c>
      <c r="BE31">
        <v>82.215000000000046</v>
      </c>
      <c r="BF31">
        <v>25.540000000000003</v>
      </c>
      <c r="BG31">
        <v>73.200000000000031</v>
      </c>
      <c r="BH31">
        <v>2.1899999999999995</v>
      </c>
      <c r="BI31">
        <v>4.7099999999999973</v>
      </c>
      <c r="BJ31">
        <v>1294.2799999999995</v>
      </c>
      <c r="BK31">
        <v>12.360000000000007</v>
      </c>
      <c r="BL31">
        <v>7.3400000000000025</v>
      </c>
      <c r="BP31" s="45">
        <v>43623</v>
      </c>
      <c r="BQ31">
        <v>22.779999999999987</v>
      </c>
      <c r="BR31">
        <v>125.86000000000001</v>
      </c>
      <c r="BS31">
        <v>9</v>
      </c>
      <c r="BT31">
        <v>82.140000000000043</v>
      </c>
      <c r="BU31">
        <v>25.540000000000003</v>
      </c>
      <c r="BV31">
        <v>73.200000000000031</v>
      </c>
      <c r="BW31">
        <v>2.1899999999999995</v>
      </c>
      <c r="BX31">
        <v>4.7099999999999973</v>
      </c>
      <c r="BY31">
        <v>1294.2799999999995</v>
      </c>
      <c r="BZ31">
        <v>12.360000000000007</v>
      </c>
      <c r="CA31">
        <v>7.0900000000000025</v>
      </c>
    </row>
    <row r="32" spans="1:79">
      <c r="S32" s="46"/>
      <c r="T32" s="46"/>
      <c r="U32" s="46"/>
      <c r="V32" s="46"/>
      <c r="W32" s="46"/>
      <c r="X32" s="46"/>
      <c r="Y32" s="46"/>
      <c r="Z32" s="46"/>
      <c r="AA32" s="46"/>
      <c r="AB32" s="46"/>
      <c r="BA32" s="45">
        <v>43596</v>
      </c>
      <c r="BB32">
        <v>71.399999999999963</v>
      </c>
      <c r="BC32">
        <v>150.76000000000002</v>
      </c>
      <c r="BD32">
        <v>31.799999999999994</v>
      </c>
      <c r="BE32">
        <v>79.73</v>
      </c>
      <c r="BF32">
        <v>97.57999999999997</v>
      </c>
      <c r="BG32">
        <v>67.700000000000031</v>
      </c>
      <c r="BH32">
        <v>2.7899999999999996</v>
      </c>
      <c r="BI32">
        <v>5.2900000000000027</v>
      </c>
      <c r="BJ32">
        <v>1444.3549999999996</v>
      </c>
      <c r="BK32">
        <v>77.529999999999987</v>
      </c>
      <c r="BL32">
        <v>3.7900000000000014</v>
      </c>
      <c r="BP32" s="45">
        <v>43627</v>
      </c>
      <c r="BQ32">
        <v>71.34999999999998</v>
      </c>
      <c r="BR32">
        <v>150.96</v>
      </c>
      <c r="BS32">
        <v>31.799999999999994</v>
      </c>
      <c r="BT32">
        <v>79.73</v>
      </c>
      <c r="BU32">
        <v>97.57999999999997</v>
      </c>
      <c r="BV32">
        <v>67.700000000000031</v>
      </c>
      <c r="BW32">
        <v>2.7899999999999996</v>
      </c>
      <c r="BX32">
        <v>5.2900000000000027</v>
      </c>
      <c r="BY32">
        <v>1444.2799999999997</v>
      </c>
      <c r="BZ32">
        <v>78.279999999999987</v>
      </c>
      <c r="CA32">
        <v>3.7900000000000014</v>
      </c>
    </row>
    <row r="33" spans="19:80" s="6" customFormat="1">
      <c r="S33" s="46"/>
      <c r="T33" s="46"/>
      <c r="U33" s="46"/>
      <c r="V33" s="46"/>
      <c r="W33" s="46"/>
      <c r="X33" s="46"/>
      <c r="Y33" s="46"/>
      <c r="Z33" s="46"/>
      <c r="AA33" s="46"/>
      <c r="AB33" s="46"/>
      <c r="BA33" s="45">
        <v>43617</v>
      </c>
      <c r="BB33" s="6">
        <v>499069.32200559956</v>
      </c>
      <c r="BC33" s="6">
        <v>494811.03891474445</v>
      </c>
      <c r="BD33" s="6">
        <v>500109.81895517814</v>
      </c>
      <c r="BE33" s="6">
        <v>409363.75204226334</v>
      </c>
      <c r="BF33" s="6">
        <v>377244.36799859256</v>
      </c>
      <c r="BG33" s="6">
        <v>1409543.3896418572</v>
      </c>
      <c r="BH33" s="6">
        <v>1409570.3873183776</v>
      </c>
      <c r="BI33" s="6">
        <v>472086.04064754222</v>
      </c>
      <c r="BJ33" s="6">
        <v>250054.72734948201</v>
      </c>
      <c r="BK33" s="6">
        <v>500101.82002547465</v>
      </c>
      <c r="BL33" s="6">
        <v>500049.82199958782</v>
      </c>
      <c r="BP33" s="45">
        <v>43647</v>
      </c>
      <c r="BQ33" s="6">
        <v>23.209583333333331</v>
      </c>
      <c r="BR33" s="6">
        <v>138.46416666666661</v>
      </c>
      <c r="BS33" s="6">
        <v>2.375</v>
      </c>
      <c r="BT33" s="6">
        <v>44.790000000000049</v>
      </c>
      <c r="BU33" s="6">
        <v>34.894166666666656</v>
      </c>
      <c r="BV33" s="6">
        <v>25.625000000000025</v>
      </c>
      <c r="BW33" s="6">
        <v>4.0474999999999977</v>
      </c>
      <c r="BX33" s="6">
        <v>8.6741666666666593</v>
      </c>
      <c r="BY33" s="6">
        <v>1394.5008333333337</v>
      </c>
      <c r="BZ33" s="6">
        <v>16.791666666666654</v>
      </c>
      <c r="CA33" s="6">
        <v>7.5899999999999954</v>
      </c>
    </row>
    <row r="34" spans="19:80">
      <c r="S34" s="46"/>
      <c r="T34" s="46"/>
      <c r="U34" s="46"/>
      <c r="V34" s="46"/>
      <c r="W34" s="46"/>
      <c r="X34" s="46"/>
      <c r="Y34" s="46"/>
      <c r="Z34" s="46"/>
      <c r="AA34" s="46"/>
      <c r="AB34" s="46"/>
      <c r="BA34" s="45">
        <v>43618</v>
      </c>
      <c r="BB34">
        <v>71.34999999999998</v>
      </c>
      <c r="BC34">
        <v>150.96</v>
      </c>
      <c r="BD34">
        <v>31.799999999999994</v>
      </c>
      <c r="BE34">
        <v>79.73</v>
      </c>
      <c r="BF34">
        <v>97.57999999999997</v>
      </c>
      <c r="BG34">
        <v>67.700000000000031</v>
      </c>
      <c r="BH34">
        <v>2.7899999999999996</v>
      </c>
      <c r="BI34">
        <v>5.2900000000000027</v>
      </c>
      <c r="BJ34">
        <v>1444.2799999999997</v>
      </c>
      <c r="BK34">
        <v>78.279999999999987</v>
      </c>
      <c r="BL34">
        <v>3.7900000000000014</v>
      </c>
      <c r="BP34" s="45">
        <v>43648</v>
      </c>
      <c r="BQ34" s="45">
        <v>71.449999999999989</v>
      </c>
      <c r="BR34">
        <v>150.55999999999995</v>
      </c>
      <c r="BS34">
        <v>31.799999999999994</v>
      </c>
      <c r="BT34">
        <v>79.73</v>
      </c>
      <c r="BU34">
        <v>97.57999999999997</v>
      </c>
      <c r="BV34">
        <v>67.700000000000031</v>
      </c>
      <c r="BW34">
        <v>2.7899999999999996</v>
      </c>
      <c r="BX34">
        <v>5.2900000000000027</v>
      </c>
      <c r="BY34">
        <v>1444.430000000001</v>
      </c>
      <c r="BZ34">
        <v>76.779999999999987</v>
      </c>
      <c r="CA34">
        <v>3.7900000000000014</v>
      </c>
      <c r="CB34">
        <v>306.56541666666675</v>
      </c>
    </row>
    <row r="35" spans="19:80">
      <c r="S35" s="46"/>
      <c r="T35" s="46"/>
      <c r="U35" s="46"/>
      <c r="V35" s="46"/>
      <c r="W35" s="46"/>
      <c r="X35" s="46"/>
      <c r="Y35" s="46"/>
      <c r="Z35" s="46"/>
      <c r="AA35" s="46"/>
      <c r="AB35" s="46"/>
      <c r="BA35" s="45">
        <v>43619</v>
      </c>
      <c r="BB35">
        <v>29.350000000000012</v>
      </c>
      <c r="BC35">
        <v>137.96</v>
      </c>
      <c r="BD35">
        <v>4</v>
      </c>
      <c r="BE35">
        <v>62.140000000000022</v>
      </c>
      <c r="BF35">
        <v>25.63999999999999</v>
      </c>
      <c r="BG35">
        <v>23.7</v>
      </c>
      <c r="BH35">
        <v>2.5499999999999989</v>
      </c>
      <c r="BI35">
        <v>7.8899999999999961</v>
      </c>
      <c r="BJ35">
        <v>1408.2799999999997</v>
      </c>
      <c r="BK35">
        <v>18.180000000000003</v>
      </c>
      <c r="BL35">
        <v>7.0900000000000025</v>
      </c>
      <c r="BP35" s="45">
        <v>43649</v>
      </c>
      <c r="BQ35" s="45">
        <v>22.950000000000003</v>
      </c>
      <c r="BR35">
        <v>139.05999999999997</v>
      </c>
      <c r="BS35">
        <v>2</v>
      </c>
      <c r="BT35">
        <v>42.290000000000028</v>
      </c>
      <c r="BU35">
        <v>35.740000000000009</v>
      </c>
      <c r="BV35">
        <v>23.549999999999986</v>
      </c>
      <c r="BW35">
        <v>4.1999999999999984</v>
      </c>
      <c r="BX35">
        <v>8.8899999999999952</v>
      </c>
      <c r="BY35">
        <v>1398.430000000001</v>
      </c>
      <c r="BZ35">
        <v>16.930000000000003</v>
      </c>
      <c r="CA35">
        <v>7.5900000000000025</v>
      </c>
      <c r="CB35">
        <v>3.7900000000000014</v>
      </c>
    </row>
    <row r="36" spans="19:80">
      <c r="S36" s="46"/>
      <c r="T36" s="46"/>
      <c r="U36" s="46"/>
      <c r="V36" s="46"/>
      <c r="W36" s="46"/>
      <c r="X36" s="46"/>
      <c r="Y36" s="46"/>
      <c r="Z36" s="46"/>
      <c r="AA36" s="46"/>
      <c r="AB36" s="46"/>
      <c r="BA36" s="45">
        <v>43621</v>
      </c>
      <c r="BB36">
        <v>22.779999999999987</v>
      </c>
      <c r="BC36">
        <v>125.86000000000001</v>
      </c>
      <c r="BD36">
        <v>9</v>
      </c>
      <c r="BE36">
        <v>82.140000000000043</v>
      </c>
      <c r="BF36">
        <v>25.540000000000003</v>
      </c>
      <c r="BG36">
        <v>73.200000000000031</v>
      </c>
      <c r="BH36">
        <v>2.1899999999999995</v>
      </c>
      <c r="BI36">
        <v>4.7099999999999973</v>
      </c>
      <c r="BJ36">
        <v>1294.2799999999995</v>
      </c>
      <c r="BK36">
        <v>12.360000000000007</v>
      </c>
      <c r="BL36">
        <v>7.0900000000000025</v>
      </c>
      <c r="BP36" s="45">
        <v>43651</v>
      </c>
      <c r="BQ36" s="45">
        <v>22.26083333333332</v>
      </c>
      <c r="BR36">
        <v>127.05166666666666</v>
      </c>
      <c r="BS36">
        <v>8.25</v>
      </c>
      <c r="BT36">
        <v>77.29000000000002</v>
      </c>
      <c r="BU36">
        <v>27.231666666666673</v>
      </c>
      <c r="BV36">
        <v>69.050000000000026</v>
      </c>
      <c r="BW36">
        <v>2.4949999999999997</v>
      </c>
      <c r="BX36">
        <v>5.1416666666666648</v>
      </c>
      <c r="BY36">
        <v>1302.1383333333331</v>
      </c>
      <c r="BZ36">
        <v>12.636666666666672</v>
      </c>
      <c r="CA36">
        <v>7.5900000000000025</v>
      </c>
      <c r="CB36">
        <v>605.79083333333347</v>
      </c>
    </row>
    <row r="37" spans="19:80">
      <c r="S37" s="46"/>
      <c r="T37" s="46"/>
      <c r="U37" s="46"/>
      <c r="V37" s="46"/>
      <c r="W37" s="46"/>
      <c r="X37" s="46"/>
      <c r="Y37" s="46"/>
      <c r="Z37" s="46"/>
      <c r="AA37" s="46"/>
      <c r="AB37" s="46"/>
      <c r="BA37" s="45">
        <v>43622</v>
      </c>
      <c r="BB37">
        <v>29.350000000000012</v>
      </c>
      <c r="BC37">
        <v>137.96</v>
      </c>
      <c r="BD37">
        <v>4</v>
      </c>
      <c r="BE37">
        <v>62.140000000000022</v>
      </c>
      <c r="BF37">
        <v>25.63999999999999</v>
      </c>
      <c r="BG37">
        <v>23.7</v>
      </c>
      <c r="BH37">
        <v>2.5499999999999989</v>
      </c>
      <c r="BI37">
        <v>7.8899999999999961</v>
      </c>
      <c r="BJ37">
        <v>1408.2799999999997</v>
      </c>
      <c r="BK37">
        <v>18.180000000000003</v>
      </c>
      <c r="BL37">
        <v>7.0900000000000025</v>
      </c>
      <c r="BP37" s="45">
        <v>43652</v>
      </c>
      <c r="BQ37" s="45">
        <v>23.46916666666667</v>
      </c>
      <c r="BR37">
        <v>137.86833333333331</v>
      </c>
      <c r="BS37">
        <v>2.75</v>
      </c>
      <c r="BT37">
        <v>47.29000000000002</v>
      </c>
      <c r="BU37">
        <v>34.048333333333339</v>
      </c>
      <c r="BV37">
        <v>27.699999999999992</v>
      </c>
      <c r="BW37">
        <v>3.8949999999999991</v>
      </c>
      <c r="BX37">
        <v>8.4583333333333304</v>
      </c>
      <c r="BY37">
        <v>1390.5716666666674</v>
      </c>
      <c r="BZ37">
        <v>16.65333333333334</v>
      </c>
      <c r="CA37">
        <v>7.5900000000000025</v>
      </c>
      <c r="CB37">
        <v>7.3400000000000025</v>
      </c>
    </row>
    <row r="38" spans="19:80">
      <c r="S38" s="46"/>
      <c r="T38" s="46"/>
      <c r="U38" s="46"/>
      <c r="V38" s="46"/>
      <c r="W38" s="46"/>
      <c r="X38" s="46"/>
      <c r="Y38" s="46"/>
      <c r="Z38" s="46"/>
      <c r="AA38" s="46"/>
      <c r="AB38" s="46"/>
      <c r="BA38" s="45">
        <v>43623</v>
      </c>
      <c r="BB38">
        <v>22.779999999999987</v>
      </c>
      <c r="BC38">
        <v>125.86000000000001</v>
      </c>
      <c r="BD38">
        <v>9</v>
      </c>
      <c r="BE38">
        <v>82.140000000000043</v>
      </c>
      <c r="BF38">
        <v>25.540000000000003</v>
      </c>
      <c r="BG38">
        <v>73.200000000000031</v>
      </c>
      <c r="BH38">
        <v>2.1899999999999995</v>
      </c>
      <c r="BI38">
        <v>4.7099999999999973</v>
      </c>
      <c r="BJ38">
        <v>1294.2799999999995</v>
      </c>
      <c r="BK38">
        <v>12.360000000000007</v>
      </c>
      <c r="BL38">
        <v>7.0900000000000025</v>
      </c>
      <c r="BP38" s="45">
        <v>43653</v>
      </c>
      <c r="BQ38" s="45">
        <v>22.26083333333332</v>
      </c>
      <c r="BR38">
        <v>127.05166666666666</v>
      </c>
      <c r="BS38">
        <v>8.25</v>
      </c>
      <c r="BT38">
        <v>77.29000000000002</v>
      </c>
      <c r="BU38">
        <v>27.231666666666673</v>
      </c>
      <c r="BV38">
        <v>69.050000000000026</v>
      </c>
      <c r="BW38">
        <v>2.4949999999999997</v>
      </c>
      <c r="BX38">
        <v>5.1416666666666648</v>
      </c>
      <c r="BY38">
        <v>1302.1383333333331</v>
      </c>
      <c r="BZ38">
        <v>12.636666666666672</v>
      </c>
      <c r="CA38">
        <v>7.5900000000000025</v>
      </c>
      <c r="CB38">
        <v>7.3400000000000025</v>
      </c>
    </row>
    <row r="39" spans="19:80">
      <c r="S39" s="46"/>
      <c r="T39" s="46"/>
      <c r="U39" s="46"/>
      <c r="V39" s="46"/>
      <c r="W39" s="46"/>
      <c r="X39" s="46"/>
      <c r="Y39" s="46"/>
      <c r="Z39" s="46"/>
      <c r="AA39" s="46"/>
      <c r="AB39" s="46"/>
      <c r="BA39" s="45">
        <v>43627</v>
      </c>
      <c r="BB39">
        <v>71.34999999999998</v>
      </c>
      <c r="BC39">
        <v>150.96</v>
      </c>
      <c r="BD39">
        <v>31.799999999999994</v>
      </c>
      <c r="BE39">
        <v>79.73</v>
      </c>
      <c r="BF39">
        <v>97.57999999999997</v>
      </c>
      <c r="BG39">
        <v>67.700000000000031</v>
      </c>
      <c r="BH39">
        <v>2.7899999999999996</v>
      </c>
      <c r="BI39">
        <v>5.2900000000000027</v>
      </c>
      <c r="BJ39">
        <v>1444.2799999999997</v>
      </c>
      <c r="BK39">
        <v>78.279999999999987</v>
      </c>
      <c r="BL39">
        <v>3.7900000000000014</v>
      </c>
      <c r="BP39" s="45">
        <v>43657</v>
      </c>
      <c r="BQ39" s="45">
        <v>71.449999999999989</v>
      </c>
      <c r="BR39">
        <v>150.55999999999995</v>
      </c>
      <c r="BS39">
        <v>31.799999999999994</v>
      </c>
      <c r="BT39">
        <v>79.73</v>
      </c>
      <c r="BU39">
        <v>97.57999999999997</v>
      </c>
      <c r="BV39">
        <v>67.700000000000031</v>
      </c>
      <c r="BW39">
        <v>2.7899999999999996</v>
      </c>
      <c r="BX39">
        <v>5.2900000000000027</v>
      </c>
      <c r="BY39">
        <v>1444.430000000001</v>
      </c>
      <c r="BZ39">
        <v>76.779999999999987</v>
      </c>
      <c r="CA39">
        <v>3.7900000000000014</v>
      </c>
      <c r="CB39">
        <v>7.3400000000000025</v>
      </c>
    </row>
    <row r="40" spans="19:80">
      <c r="S40" s="46"/>
      <c r="T40" s="46"/>
      <c r="U40" s="46"/>
      <c r="V40" s="46"/>
      <c r="W40" s="46"/>
      <c r="X40" s="46"/>
      <c r="Y40" s="46"/>
      <c r="Z40" s="46"/>
      <c r="AA40" s="46"/>
      <c r="AB40" s="46"/>
      <c r="BA40" s="45">
        <v>43647</v>
      </c>
      <c r="BB40">
        <v>23.209583333333331</v>
      </c>
      <c r="BC40">
        <v>138.46416666666661</v>
      </c>
      <c r="BD40">
        <v>2.375</v>
      </c>
      <c r="BE40">
        <v>44.790000000000049</v>
      </c>
      <c r="BF40">
        <v>34.894166666666656</v>
      </c>
      <c r="BG40">
        <v>25.625000000000025</v>
      </c>
      <c r="BH40">
        <v>4.0474999999999977</v>
      </c>
      <c r="BI40">
        <v>8.6741666666666593</v>
      </c>
      <c r="BJ40">
        <v>1394.5008333333337</v>
      </c>
      <c r="BK40">
        <v>16.791666666666654</v>
      </c>
      <c r="BL40">
        <v>7.5899999999999954</v>
      </c>
      <c r="BP40" s="45">
        <v>43678</v>
      </c>
      <c r="BQ40" s="45">
        <v>19.664999999999971</v>
      </c>
      <c r="BR40">
        <v>133.00999999999993</v>
      </c>
      <c r="BS40">
        <v>4.5</v>
      </c>
      <c r="BT40">
        <v>52.440000000000047</v>
      </c>
      <c r="BU40">
        <v>35.689999999999976</v>
      </c>
      <c r="BV40">
        <v>48.300000000000061</v>
      </c>
      <c r="BW40">
        <v>4.0199999999999969</v>
      </c>
      <c r="BX40">
        <v>7.2999999999999927</v>
      </c>
      <c r="BY40">
        <v>1341.4300000000005</v>
      </c>
      <c r="BZ40">
        <v>14.019999999999994</v>
      </c>
      <c r="CA40">
        <v>8.0899999999999928</v>
      </c>
      <c r="CB40">
        <v>3.7900000000000014</v>
      </c>
    </row>
    <row r="41" spans="19:80">
      <c r="S41" s="46"/>
      <c r="T41" s="46"/>
      <c r="U41" s="46"/>
      <c r="V41" s="46"/>
      <c r="W41" s="46"/>
      <c r="X41" s="46"/>
      <c r="Y41" s="46"/>
      <c r="Z41" s="46"/>
      <c r="AA41" s="46"/>
      <c r="AB41" s="46"/>
      <c r="BA41" s="45">
        <v>43648</v>
      </c>
      <c r="BB41">
        <v>71.449999999999989</v>
      </c>
      <c r="BC41">
        <v>150.55999999999995</v>
      </c>
      <c r="BD41">
        <v>31.799999999999994</v>
      </c>
      <c r="BE41">
        <v>79.73</v>
      </c>
      <c r="BF41">
        <v>97.57999999999997</v>
      </c>
      <c r="BG41">
        <v>67.700000000000031</v>
      </c>
      <c r="BH41">
        <v>2.7899999999999996</v>
      </c>
      <c r="BI41">
        <v>5.2900000000000027</v>
      </c>
      <c r="BJ41">
        <v>1444.430000000001</v>
      </c>
      <c r="BK41">
        <v>76.779999999999987</v>
      </c>
      <c r="BL41">
        <v>3.7900000000000014</v>
      </c>
      <c r="BP41" s="45">
        <v>43679</v>
      </c>
      <c r="BQ41" s="45">
        <v>71.549999999999969</v>
      </c>
      <c r="BR41">
        <v>150.15999999999994</v>
      </c>
      <c r="BS41">
        <v>31.799999999999994</v>
      </c>
      <c r="BT41">
        <v>79.73</v>
      </c>
      <c r="BU41">
        <v>97.57999999999997</v>
      </c>
      <c r="BV41">
        <v>67.700000000000031</v>
      </c>
      <c r="BW41">
        <v>2.7899999999999996</v>
      </c>
      <c r="BX41">
        <v>5.2900000000000027</v>
      </c>
      <c r="BY41">
        <v>1444.5800000000008</v>
      </c>
      <c r="BZ41">
        <v>75.279999999999987</v>
      </c>
      <c r="CA41">
        <v>3.7900000000000014</v>
      </c>
      <c r="CB41">
        <v>500049.82199958782</v>
      </c>
    </row>
    <row r="42" spans="19:80">
      <c r="S42" s="46"/>
      <c r="T42" s="46"/>
      <c r="U42" s="46"/>
      <c r="V42" s="46"/>
      <c r="W42" s="46"/>
      <c r="X42" s="46"/>
      <c r="Y42" s="46"/>
      <c r="Z42" s="46"/>
      <c r="AA42" s="46"/>
      <c r="AB42" s="46"/>
      <c r="BA42" s="45">
        <v>43649</v>
      </c>
      <c r="BB42">
        <v>22.950000000000003</v>
      </c>
      <c r="BC42">
        <v>139.05999999999997</v>
      </c>
      <c r="BD42">
        <v>2</v>
      </c>
      <c r="BE42">
        <v>42.290000000000028</v>
      </c>
      <c r="BF42">
        <v>35.740000000000009</v>
      </c>
      <c r="BG42">
        <v>23.549999999999986</v>
      </c>
      <c r="BH42">
        <v>4.1999999999999984</v>
      </c>
      <c r="BI42">
        <v>8.8899999999999952</v>
      </c>
      <c r="BJ42">
        <v>1398.430000000001</v>
      </c>
      <c r="BK42">
        <v>16.930000000000003</v>
      </c>
      <c r="BL42">
        <v>7.5900000000000025</v>
      </c>
      <c r="BP42" s="45">
        <v>43680</v>
      </c>
      <c r="BQ42" s="45">
        <v>16.550000000000008</v>
      </c>
      <c r="BR42">
        <v>140.15999999999997</v>
      </c>
      <c r="BS42">
        <v>0</v>
      </c>
      <c r="BT42">
        <v>22.44</v>
      </c>
      <c r="BU42">
        <v>45.840000000000011</v>
      </c>
      <c r="BV42">
        <v>23.399999999999991</v>
      </c>
      <c r="BW42">
        <v>5.8499999999999979</v>
      </c>
      <c r="BX42">
        <v>9.8899999999999935</v>
      </c>
      <c r="BY42">
        <v>1388.5800000000008</v>
      </c>
      <c r="BZ42">
        <v>15.680000000000005</v>
      </c>
      <c r="CA42">
        <v>8.0900000000000016</v>
      </c>
      <c r="CB42">
        <v>3.7900000000000014</v>
      </c>
    </row>
    <row r="43" spans="19:80">
      <c r="S43" s="46"/>
      <c r="T43" s="46"/>
      <c r="U43" s="46"/>
      <c r="V43" s="46"/>
      <c r="W43" s="46"/>
      <c r="X43" s="46"/>
      <c r="Y43" s="46"/>
      <c r="Z43" s="46"/>
      <c r="AA43" s="46"/>
      <c r="AB43" s="46"/>
      <c r="BA43" s="45">
        <v>43651</v>
      </c>
      <c r="BB43">
        <v>22.26083333333332</v>
      </c>
      <c r="BC43">
        <v>127.05166666666666</v>
      </c>
      <c r="BD43">
        <v>8.25</v>
      </c>
      <c r="BE43">
        <v>77.29000000000002</v>
      </c>
      <c r="BF43">
        <v>27.231666666666673</v>
      </c>
      <c r="BG43">
        <v>69.050000000000026</v>
      </c>
      <c r="BH43">
        <v>2.4949999999999997</v>
      </c>
      <c r="BI43">
        <v>5.1416666666666648</v>
      </c>
      <c r="BJ43">
        <v>1302.1383333333331</v>
      </c>
      <c r="BK43">
        <v>12.636666666666672</v>
      </c>
      <c r="BL43">
        <v>7.5900000000000025</v>
      </c>
      <c r="BP43" s="45">
        <v>43682</v>
      </c>
      <c r="BQ43" s="45">
        <v>16.550000000000008</v>
      </c>
      <c r="BR43">
        <v>140.15999999999997</v>
      </c>
      <c r="BS43">
        <v>0</v>
      </c>
      <c r="BT43">
        <v>22.44</v>
      </c>
      <c r="BU43">
        <v>45.840000000000011</v>
      </c>
      <c r="BV43">
        <v>23.399999999999991</v>
      </c>
      <c r="BW43">
        <v>5.8499999999999979</v>
      </c>
      <c r="BX43">
        <v>9.8899999999999935</v>
      </c>
      <c r="BY43">
        <v>1388.5800000000008</v>
      </c>
      <c r="BZ43">
        <v>15.680000000000005</v>
      </c>
      <c r="CA43">
        <v>8.0900000000000016</v>
      </c>
      <c r="CB43">
        <v>7.0900000000000025</v>
      </c>
    </row>
    <row r="44" spans="19:80">
      <c r="S44" s="46"/>
      <c r="T44" s="46"/>
      <c r="U44" s="46"/>
      <c r="V44" s="46"/>
      <c r="W44" s="46"/>
      <c r="X44" s="46"/>
      <c r="Y44" s="46"/>
      <c r="Z44" s="46"/>
      <c r="AA44" s="46"/>
      <c r="AB44" s="46"/>
      <c r="BA44" s="45">
        <v>43652</v>
      </c>
      <c r="BB44">
        <v>23.46916666666667</v>
      </c>
      <c r="BC44">
        <v>137.86833333333331</v>
      </c>
      <c r="BD44">
        <v>2.75</v>
      </c>
      <c r="BE44">
        <v>47.29000000000002</v>
      </c>
      <c r="BF44">
        <v>34.048333333333339</v>
      </c>
      <c r="BG44">
        <v>27.699999999999992</v>
      </c>
      <c r="BH44">
        <v>3.8949999999999991</v>
      </c>
      <c r="BI44">
        <v>8.4583333333333304</v>
      </c>
      <c r="BJ44">
        <v>1390.5716666666674</v>
      </c>
      <c r="BK44">
        <v>16.65333333333334</v>
      </c>
      <c r="BL44">
        <v>7.5900000000000025</v>
      </c>
      <c r="BP44" s="45">
        <v>43683</v>
      </c>
      <c r="BQ44" s="45">
        <v>22.779999999999987</v>
      </c>
      <c r="BR44">
        <v>125.86000000000001</v>
      </c>
      <c r="BS44">
        <v>9</v>
      </c>
      <c r="BT44">
        <v>82.44000000000004</v>
      </c>
      <c r="BU44">
        <v>25.540000000000003</v>
      </c>
      <c r="BV44">
        <v>73.200000000000031</v>
      </c>
      <c r="BW44">
        <v>2.1899999999999995</v>
      </c>
      <c r="BX44">
        <v>4.7099999999999973</v>
      </c>
      <c r="BY44">
        <v>1294.2799999999995</v>
      </c>
      <c r="BZ44">
        <v>12.360000000000007</v>
      </c>
      <c r="CA44">
        <v>8.0900000000000016</v>
      </c>
      <c r="CB44">
        <v>7.0900000000000025</v>
      </c>
    </row>
    <row r="45" spans="19:80">
      <c r="S45" s="46"/>
      <c r="T45" s="46"/>
      <c r="U45" s="46"/>
      <c r="V45" s="46"/>
      <c r="W45" s="46"/>
      <c r="X45" s="46"/>
      <c r="Y45" s="46"/>
      <c r="Z45" s="46"/>
      <c r="AA45" s="46"/>
      <c r="AB45" s="46"/>
      <c r="BA45" s="45">
        <v>43653</v>
      </c>
      <c r="BB45">
        <v>22.26083333333332</v>
      </c>
      <c r="BC45">
        <v>127.05166666666666</v>
      </c>
      <c r="BD45">
        <v>8.25</v>
      </c>
      <c r="BE45">
        <v>77.29000000000002</v>
      </c>
      <c r="BF45">
        <v>27.231666666666673</v>
      </c>
      <c r="BG45">
        <v>69.050000000000026</v>
      </c>
      <c r="BH45">
        <v>2.4949999999999997</v>
      </c>
      <c r="BI45">
        <v>5.1416666666666648</v>
      </c>
      <c r="BJ45">
        <v>1302.1383333333331</v>
      </c>
      <c r="BK45">
        <v>12.636666666666672</v>
      </c>
      <c r="BL45">
        <v>7.5900000000000025</v>
      </c>
      <c r="BP45" s="45">
        <v>43684</v>
      </c>
      <c r="BQ45" s="45">
        <v>16.550000000000008</v>
      </c>
      <c r="BR45">
        <v>140.15999999999997</v>
      </c>
      <c r="BS45">
        <v>0</v>
      </c>
      <c r="BT45">
        <v>22.44</v>
      </c>
      <c r="BU45">
        <v>45.840000000000011</v>
      </c>
      <c r="BV45">
        <v>23.399999999999991</v>
      </c>
      <c r="BW45">
        <v>5.8499999999999979</v>
      </c>
      <c r="BX45">
        <v>9.8899999999999935</v>
      </c>
      <c r="BY45">
        <v>1388.5800000000008</v>
      </c>
      <c r="BZ45">
        <v>15.680000000000005</v>
      </c>
      <c r="CA45">
        <v>8.0900000000000016</v>
      </c>
      <c r="CB45">
        <v>7.0900000000000025</v>
      </c>
    </row>
    <row r="46" spans="19:80">
      <c r="S46" s="46"/>
      <c r="T46" s="46"/>
      <c r="U46" s="46"/>
      <c r="V46" s="46"/>
      <c r="W46" s="46"/>
      <c r="X46" s="46"/>
      <c r="Y46" s="46"/>
      <c r="Z46" s="46"/>
      <c r="AA46" s="46"/>
      <c r="AB46" s="46"/>
      <c r="BA46" s="45">
        <v>43623</v>
      </c>
      <c r="BB46">
        <v>22.779999999999987</v>
      </c>
      <c r="BC46">
        <v>125.86000000000001</v>
      </c>
      <c r="BD46">
        <v>9</v>
      </c>
      <c r="BE46">
        <v>82.140000000000043</v>
      </c>
      <c r="BF46">
        <v>25.540000000000003</v>
      </c>
      <c r="BG46">
        <v>73.200000000000031</v>
      </c>
      <c r="BH46">
        <v>2.1899999999999995</v>
      </c>
      <c r="BI46">
        <v>4.7099999999999973</v>
      </c>
      <c r="BJ46">
        <v>1294.2799999999995</v>
      </c>
      <c r="BK46">
        <v>12.360000000000007</v>
      </c>
      <c r="BL46">
        <v>7.0900000000000025</v>
      </c>
      <c r="BP46" s="45">
        <v>43688</v>
      </c>
      <c r="BQ46" s="45">
        <v>71.549999999999969</v>
      </c>
      <c r="BR46">
        <v>150.15999999999994</v>
      </c>
      <c r="BS46">
        <v>31.799999999999994</v>
      </c>
      <c r="BT46">
        <v>79.73</v>
      </c>
      <c r="BU46">
        <v>97.57999999999997</v>
      </c>
      <c r="BV46">
        <v>67.700000000000031</v>
      </c>
      <c r="BW46">
        <v>2.7899999999999996</v>
      </c>
      <c r="BX46">
        <v>5.2900000000000027</v>
      </c>
      <c r="BY46">
        <v>1444.5800000000008</v>
      </c>
      <c r="BZ46">
        <v>75.279999999999987</v>
      </c>
      <c r="CA46">
        <v>3.7900000000000014</v>
      </c>
      <c r="CB46">
        <v>7.0900000000000025</v>
      </c>
    </row>
    <row r="47" spans="19:80">
      <c r="S47" s="46"/>
      <c r="T47" s="46"/>
      <c r="U47" s="46"/>
      <c r="V47" s="46"/>
      <c r="W47" s="46"/>
      <c r="X47" s="46"/>
      <c r="Y47" s="46"/>
      <c r="Z47" s="46"/>
      <c r="AA47" s="46"/>
      <c r="AB47" s="46"/>
      <c r="BA47" s="45">
        <v>43627</v>
      </c>
      <c r="BB47">
        <v>71.34999999999998</v>
      </c>
      <c r="BC47">
        <v>150.96</v>
      </c>
      <c r="BD47">
        <v>31.799999999999994</v>
      </c>
      <c r="BE47">
        <v>79.73</v>
      </c>
      <c r="BF47">
        <v>97.57999999999997</v>
      </c>
      <c r="BG47">
        <v>67.700000000000031</v>
      </c>
      <c r="BH47">
        <v>2.7899999999999996</v>
      </c>
      <c r="BI47">
        <v>5.2900000000000027</v>
      </c>
      <c r="BJ47">
        <v>1444.2799999999997</v>
      </c>
      <c r="BK47">
        <v>78.279999999999987</v>
      </c>
      <c r="BL47">
        <v>3.7900000000000014</v>
      </c>
      <c r="BP47" s="45">
        <v>43709</v>
      </c>
      <c r="BQ47" s="45">
        <v>34.560833333333306</v>
      </c>
      <c r="BR47">
        <v>135.71833333333328</v>
      </c>
      <c r="BS47">
        <v>13.112499999999999</v>
      </c>
      <c r="BT47">
        <v>67.956041666666707</v>
      </c>
      <c r="BU47">
        <v>49.702916666666653</v>
      </c>
      <c r="BV47">
        <v>60.297916666666652</v>
      </c>
      <c r="BW47">
        <v>3.1912499999999979</v>
      </c>
      <c r="BX47">
        <v>6.0541666666666645</v>
      </c>
      <c r="BY47">
        <v>1356.5966666666673</v>
      </c>
      <c r="BZ47">
        <v>30.161666666666665</v>
      </c>
      <c r="CA47">
        <v>6.9254166666666714</v>
      </c>
      <c r="CB47">
        <v>3.7900000000000014</v>
      </c>
    </row>
    <row r="48" spans="19:80">
      <c r="S48" s="46"/>
      <c r="T48" s="46"/>
      <c r="U48" s="46"/>
      <c r="V48" s="46"/>
      <c r="W48" s="46"/>
      <c r="X48" s="46"/>
      <c r="Y48" s="46"/>
      <c r="Z48" s="46"/>
      <c r="AA48" s="46"/>
      <c r="AB48" s="46"/>
      <c r="BA48" s="45">
        <v>43647</v>
      </c>
      <c r="BB48">
        <v>23.209583333333331</v>
      </c>
      <c r="BC48">
        <v>138.46416666666661</v>
      </c>
      <c r="BD48">
        <v>2.375</v>
      </c>
      <c r="BE48">
        <v>44.790000000000049</v>
      </c>
      <c r="BF48">
        <v>34.894166666666656</v>
      </c>
      <c r="BG48">
        <v>25.625000000000025</v>
      </c>
      <c r="BH48">
        <v>4.0474999999999977</v>
      </c>
      <c r="BI48">
        <v>8.6741666666666593</v>
      </c>
      <c r="BJ48">
        <v>1394.5008333333337</v>
      </c>
      <c r="BK48">
        <v>16.791666666666654</v>
      </c>
      <c r="BL48">
        <v>7.5899999999999954</v>
      </c>
      <c r="BP48" s="45">
        <v>43710</v>
      </c>
      <c r="BQ48" s="45">
        <v>41.758333333333304</v>
      </c>
      <c r="BR48">
        <v>144.74333333333328</v>
      </c>
      <c r="BS48">
        <v>14.575000000000003</v>
      </c>
      <c r="BT48">
        <v>48.697916666666693</v>
      </c>
      <c r="BU48">
        <v>69.554166666666632</v>
      </c>
      <c r="BV48">
        <v>43.704166666666673</v>
      </c>
      <c r="BW48">
        <v>4.447499999999998</v>
      </c>
      <c r="BX48">
        <v>7.7816666666666636</v>
      </c>
      <c r="BY48">
        <v>1414.2466666666676</v>
      </c>
      <c r="BZ48">
        <v>42.996666666666634</v>
      </c>
      <c r="CA48">
        <v>6.1191666666666684</v>
      </c>
      <c r="CB48">
        <v>7.5899999999999954</v>
      </c>
    </row>
    <row r="49" spans="19:80">
      <c r="S49" s="46"/>
      <c r="T49" s="46"/>
      <c r="U49" s="46"/>
      <c r="V49" s="46"/>
      <c r="W49" s="46"/>
      <c r="X49" s="46"/>
      <c r="Y49" s="46"/>
      <c r="Z49" s="46"/>
      <c r="AA49" s="46"/>
      <c r="AB49" s="46"/>
      <c r="BA49" s="45">
        <v>43648</v>
      </c>
      <c r="BB49">
        <v>71.449999999999989</v>
      </c>
      <c r="BC49">
        <v>150.55999999999995</v>
      </c>
      <c r="BD49">
        <v>31.799999999999994</v>
      </c>
      <c r="BE49">
        <v>79.73</v>
      </c>
      <c r="BF49">
        <v>97.57999999999997</v>
      </c>
      <c r="BG49">
        <v>67.700000000000031</v>
      </c>
      <c r="BH49">
        <v>2.7899999999999996</v>
      </c>
      <c r="BI49">
        <v>5.2900000000000027</v>
      </c>
      <c r="BJ49">
        <v>1444.430000000001</v>
      </c>
      <c r="BK49">
        <v>76.779999999999987</v>
      </c>
      <c r="BL49">
        <v>3.7900000000000014</v>
      </c>
      <c r="BP49" s="45">
        <v>43711</v>
      </c>
      <c r="BQ49" s="45">
        <v>46.341666666666661</v>
      </c>
      <c r="BR49">
        <v>145.57666666666663</v>
      </c>
      <c r="BS49">
        <v>17.225000000000005</v>
      </c>
      <c r="BT49">
        <v>53.472083333333337</v>
      </c>
      <c r="BU49">
        <v>73.865833333333327</v>
      </c>
      <c r="BV49">
        <v>47.39583333333335</v>
      </c>
      <c r="BW49">
        <v>4.1925000000000034</v>
      </c>
      <c r="BX49">
        <v>7.3983333333333308</v>
      </c>
      <c r="BY49">
        <v>1418.9133333333341</v>
      </c>
      <c r="BZ49">
        <v>47.963333333333331</v>
      </c>
      <c r="CA49">
        <v>5.7608333333333368</v>
      </c>
      <c r="CB49">
        <v>3.7900000000000014</v>
      </c>
    </row>
    <row r="50" spans="19:80">
      <c r="S50" s="46"/>
      <c r="T50" s="46"/>
      <c r="U50" s="46"/>
      <c r="V50" s="46"/>
      <c r="W50" s="46"/>
      <c r="X50" s="46"/>
      <c r="Y50" s="46"/>
      <c r="Z50" s="46"/>
      <c r="AA50" s="46"/>
      <c r="AB50" s="46"/>
      <c r="BA50" s="45">
        <v>43649</v>
      </c>
      <c r="BB50">
        <v>22.950000000000003</v>
      </c>
      <c r="BC50">
        <v>139.05999999999997</v>
      </c>
      <c r="BD50">
        <v>2</v>
      </c>
      <c r="BE50">
        <v>42.290000000000028</v>
      </c>
      <c r="BF50">
        <v>35.740000000000009</v>
      </c>
      <c r="BG50">
        <v>23.549999999999986</v>
      </c>
      <c r="BH50">
        <v>4.1999999999999984</v>
      </c>
      <c r="BI50">
        <v>8.8899999999999952</v>
      </c>
      <c r="BJ50">
        <v>1398.430000000001</v>
      </c>
      <c r="BK50">
        <v>16.930000000000003</v>
      </c>
      <c r="BL50">
        <v>7.5900000000000025</v>
      </c>
      <c r="BP50" s="45">
        <v>43713</v>
      </c>
      <c r="BQ50" s="45">
        <v>16.550000000000008</v>
      </c>
      <c r="BR50">
        <v>140.15999999999997</v>
      </c>
      <c r="BS50">
        <v>0</v>
      </c>
      <c r="BT50">
        <v>22.44</v>
      </c>
      <c r="BU50">
        <v>45.840000000000011</v>
      </c>
      <c r="BV50">
        <v>23.399999999999991</v>
      </c>
      <c r="BW50">
        <v>5.8499999999999979</v>
      </c>
      <c r="BX50">
        <v>9.8899999999999935</v>
      </c>
      <c r="BY50">
        <v>1388.5800000000008</v>
      </c>
      <c r="BZ50">
        <v>15.680000000000005</v>
      </c>
      <c r="CA50">
        <v>8.0900000000000016</v>
      </c>
      <c r="CB50">
        <v>7.5900000000000025</v>
      </c>
    </row>
    <row r="51" spans="19:80">
      <c r="S51" s="46"/>
      <c r="T51" s="46"/>
      <c r="U51" s="46"/>
      <c r="V51" s="46"/>
      <c r="W51" s="46"/>
      <c r="X51" s="46"/>
      <c r="Y51" s="46"/>
      <c r="Z51" s="46"/>
      <c r="AA51" s="46"/>
      <c r="AB51" s="46"/>
      <c r="BA51" s="45">
        <v>43651</v>
      </c>
      <c r="BB51">
        <v>22.26083333333332</v>
      </c>
      <c r="BC51">
        <v>127.05166666666666</v>
      </c>
      <c r="BD51">
        <v>8.25</v>
      </c>
      <c r="BE51">
        <v>77.29000000000002</v>
      </c>
      <c r="BF51">
        <v>27.231666666666673</v>
      </c>
      <c r="BG51">
        <v>69.050000000000026</v>
      </c>
      <c r="BH51">
        <v>2.4949999999999997</v>
      </c>
      <c r="BI51">
        <v>5.1416666666666648</v>
      </c>
      <c r="BJ51">
        <v>1302.1383333333331</v>
      </c>
      <c r="BK51">
        <v>12.636666666666672</v>
      </c>
      <c r="BL51">
        <v>7.5900000000000025</v>
      </c>
      <c r="BP51" s="45">
        <v>43714</v>
      </c>
      <c r="BQ51" s="45">
        <v>22.779999999999987</v>
      </c>
      <c r="BR51">
        <v>125.86000000000001</v>
      </c>
      <c r="BS51">
        <v>9</v>
      </c>
      <c r="BT51">
        <v>82.44000000000004</v>
      </c>
      <c r="BU51">
        <v>25.540000000000003</v>
      </c>
      <c r="BV51">
        <v>73.200000000000031</v>
      </c>
      <c r="BW51">
        <v>2.1899999999999995</v>
      </c>
      <c r="BX51">
        <v>4.7099999999999973</v>
      </c>
      <c r="BY51">
        <v>1294.2799999999995</v>
      </c>
      <c r="BZ51">
        <v>12.360000000000007</v>
      </c>
      <c r="CA51">
        <v>8.0900000000000016</v>
      </c>
      <c r="CB51">
        <v>7.5900000000000025</v>
      </c>
    </row>
    <row r="52" spans="19:80">
      <c r="S52" s="46"/>
      <c r="T52" s="46"/>
      <c r="U52" s="46"/>
      <c r="V52" s="46"/>
      <c r="W52" s="46"/>
      <c r="X52" s="46"/>
      <c r="Y52" s="46"/>
      <c r="Z52" s="46"/>
      <c r="AA52" s="46"/>
      <c r="AB52" s="46"/>
      <c r="BA52" s="45">
        <v>43652</v>
      </c>
      <c r="BB52">
        <v>23.46916666666667</v>
      </c>
      <c r="BC52">
        <v>137.86833333333331</v>
      </c>
      <c r="BD52">
        <v>2.75</v>
      </c>
      <c r="BE52">
        <v>47.29000000000002</v>
      </c>
      <c r="BF52">
        <v>34.048333333333339</v>
      </c>
      <c r="BG52">
        <v>27.699999999999992</v>
      </c>
      <c r="BH52">
        <v>3.8949999999999991</v>
      </c>
      <c r="BI52">
        <v>8.4583333333333304</v>
      </c>
      <c r="BJ52">
        <v>1390.5716666666674</v>
      </c>
      <c r="BK52">
        <v>16.65333333333334</v>
      </c>
      <c r="BL52">
        <v>7.5900000000000025</v>
      </c>
      <c r="BP52" s="45">
        <v>43715</v>
      </c>
      <c r="BQ52" s="45">
        <v>16.550000000000008</v>
      </c>
      <c r="BR52">
        <v>140.15999999999997</v>
      </c>
      <c r="BS52">
        <v>0</v>
      </c>
      <c r="BT52">
        <v>22.44</v>
      </c>
      <c r="BU52">
        <v>45.840000000000011</v>
      </c>
      <c r="BV52">
        <v>23.399999999999991</v>
      </c>
      <c r="BW52">
        <v>5.8499999999999979</v>
      </c>
      <c r="BX52">
        <v>9.8899999999999935</v>
      </c>
      <c r="BY52">
        <v>1388.5800000000008</v>
      </c>
      <c r="BZ52">
        <v>15.680000000000005</v>
      </c>
      <c r="CA52">
        <v>8.0900000000000016</v>
      </c>
      <c r="CB52">
        <v>7.5900000000000025</v>
      </c>
    </row>
    <row r="53" spans="19:80">
      <c r="S53" s="46"/>
      <c r="T53" s="46"/>
      <c r="U53" s="46"/>
      <c r="V53" s="46"/>
      <c r="W53" s="46"/>
      <c r="X53" s="46"/>
      <c r="Y53" s="46"/>
      <c r="Z53" s="46"/>
      <c r="AA53" s="46"/>
      <c r="AB53" s="46"/>
      <c r="BA53" s="45">
        <v>43653</v>
      </c>
      <c r="BB53">
        <v>22.26083333333332</v>
      </c>
      <c r="BC53">
        <v>127.05166666666666</v>
      </c>
      <c r="BD53">
        <v>8.25</v>
      </c>
      <c r="BE53">
        <v>77.29000000000002</v>
      </c>
      <c r="BF53">
        <v>27.231666666666673</v>
      </c>
      <c r="BG53">
        <v>69.050000000000026</v>
      </c>
      <c r="BH53">
        <v>2.4949999999999997</v>
      </c>
      <c r="BI53">
        <v>5.1416666666666648</v>
      </c>
      <c r="BJ53">
        <v>1302.1383333333331</v>
      </c>
      <c r="BK53">
        <v>12.636666666666672</v>
      </c>
      <c r="BL53">
        <v>7.5900000000000025</v>
      </c>
      <c r="BP53" s="45">
        <v>43719</v>
      </c>
      <c r="BQ53" s="45">
        <v>41.758333333333304</v>
      </c>
      <c r="BR53">
        <v>144.74333333333328</v>
      </c>
      <c r="BS53">
        <v>14.575000000000003</v>
      </c>
      <c r="BT53">
        <v>48.697916666666693</v>
      </c>
      <c r="BU53">
        <v>69.554166666666632</v>
      </c>
      <c r="BV53">
        <v>43.704166666666673</v>
      </c>
      <c r="BW53">
        <v>4.447499999999998</v>
      </c>
      <c r="BX53">
        <v>7.7816666666666636</v>
      </c>
      <c r="BY53">
        <v>1414.2466666666676</v>
      </c>
      <c r="BZ53">
        <v>42.996666666666634</v>
      </c>
      <c r="CA53">
        <v>6.1191666666666684</v>
      </c>
      <c r="CB53">
        <v>7.5900000000000025</v>
      </c>
    </row>
    <row r="54" spans="19:80">
      <c r="S54" s="46"/>
      <c r="T54" s="46"/>
      <c r="U54" s="46"/>
      <c r="V54" s="46"/>
      <c r="W54" s="46"/>
      <c r="X54" s="46"/>
      <c r="Y54" s="46"/>
      <c r="Z54" s="46"/>
      <c r="AA54" s="46"/>
      <c r="AB54" s="46"/>
      <c r="BQ54" s="45">
        <v>43657</v>
      </c>
      <c r="BR54">
        <v>71.449999999999989</v>
      </c>
      <c r="BS54">
        <v>150.55999999999995</v>
      </c>
      <c r="BT54">
        <v>31.799999999999994</v>
      </c>
      <c r="BU54">
        <v>79.73</v>
      </c>
      <c r="BV54">
        <v>97.57999999999997</v>
      </c>
      <c r="BW54">
        <v>67.700000000000031</v>
      </c>
      <c r="BX54">
        <v>2.7899999999999996</v>
      </c>
      <c r="BY54">
        <v>5.2900000000000027</v>
      </c>
      <c r="BZ54">
        <v>1444.430000000001</v>
      </c>
      <c r="CA54">
        <v>76.779999999999987</v>
      </c>
      <c r="CB54">
        <v>3.7900000000000014</v>
      </c>
    </row>
    <row r="55" spans="19:80">
      <c r="S55" s="46"/>
      <c r="T55" s="46"/>
      <c r="U55" s="46"/>
      <c r="V55" s="46"/>
      <c r="W55" s="46"/>
      <c r="X55" s="46"/>
      <c r="Y55" s="46"/>
      <c r="Z55" s="46"/>
      <c r="AA55" s="46"/>
      <c r="AB55" s="46"/>
      <c r="BQ55" s="45">
        <v>43678</v>
      </c>
      <c r="BR55">
        <v>19.664999999999971</v>
      </c>
      <c r="BS55">
        <v>133.00999999999993</v>
      </c>
      <c r="BT55">
        <v>4.5</v>
      </c>
      <c r="BU55">
        <v>52.440000000000047</v>
      </c>
      <c r="BV55">
        <v>35.689999999999976</v>
      </c>
      <c r="BW55">
        <v>48.300000000000061</v>
      </c>
      <c r="BX55">
        <v>4.0199999999999969</v>
      </c>
      <c r="BY55">
        <v>7.2999999999999927</v>
      </c>
      <c r="BZ55">
        <v>1341.4300000000005</v>
      </c>
      <c r="CA55">
        <v>14.019999999999994</v>
      </c>
      <c r="CB55">
        <v>8.0899999999999928</v>
      </c>
    </row>
    <row r="56" spans="19:80">
      <c r="S56" s="46"/>
      <c r="T56" s="46"/>
      <c r="U56" s="46"/>
      <c r="V56" s="46"/>
      <c r="W56" s="46"/>
      <c r="X56" s="46"/>
      <c r="Y56" s="46"/>
      <c r="Z56" s="46"/>
      <c r="AA56" s="46"/>
      <c r="AB56" s="46"/>
      <c r="BQ56" s="45">
        <v>43679</v>
      </c>
      <c r="BR56">
        <v>71.549999999999969</v>
      </c>
      <c r="BS56">
        <v>150.15999999999994</v>
      </c>
      <c r="BT56">
        <v>31.799999999999994</v>
      </c>
      <c r="BU56">
        <v>79.73</v>
      </c>
      <c r="BV56">
        <v>97.57999999999997</v>
      </c>
      <c r="BW56">
        <v>67.700000000000031</v>
      </c>
      <c r="BX56">
        <v>2.7899999999999996</v>
      </c>
      <c r="BY56">
        <v>5.2900000000000027</v>
      </c>
      <c r="BZ56">
        <v>1444.5800000000008</v>
      </c>
      <c r="CA56">
        <v>75.279999999999987</v>
      </c>
      <c r="CB56">
        <v>3.7900000000000014</v>
      </c>
    </row>
    <row r="57" spans="19:80">
      <c r="S57" s="46"/>
      <c r="T57" s="46"/>
      <c r="U57" s="46"/>
      <c r="V57" s="46"/>
      <c r="W57" s="46"/>
      <c r="X57" s="46"/>
      <c r="Y57" s="46"/>
      <c r="Z57" s="46"/>
      <c r="AA57" s="46"/>
      <c r="AB57" s="46"/>
      <c r="BQ57" s="45">
        <v>43680</v>
      </c>
      <c r="BR57">
        <v>16.550000000000008</v>
      </c>
      <c r="BS57">
        <v>140.15999999999997</v>
      </c>
      <c r="BT57">
        <v>0</v>
      </c>
      <c r="BU57">
        <v>22.44</v>
      </c>
      <c r="BV57">
        <v>45.840000000000011</v>
      </c>
      <c r="BW57">
        <v>23.399999999999991</v>
      </c>
      <c r="BX57">
        <v>5.8499999999999979</v>
      </c>
      <c r="BY57">
        <v>9.8899999999999935</v>
      </c>
      <c r="BZ57">
        <v>1388.5800000000008</v>
      </c>
      <c r="CA57">
        <v>15.680000000000005</v>
      </c>
      <c r="CB57">
        <v>8.0900000000000016</v>
      </c>
    </row>
    <row r="58" spans="19:80">
      <c r="S58" s="46"/>
      <c r="T58" s="46"/>
      <c r="U58" s="46"/>
      <c r="V58" s="46"/>
      <c r="W58" s="46"/>
      <c r="X58" s="46"/>
      <c r="Y58" s="46"/>
      <c r="Z58" s="46"/>
      <c r="AA58" s="46"/>
      <c r="AB58" s="46"/>
      <c r="BQ58" s="45">
        <v>43682</v>
      </c>
      <c r="BR58">
        <v>16.550000000000008</v>
      </c>
      <c r="BS58">
        <v>140.15999999999997</v>
      </c>
      <c r="BT58">
        <v>0</v>
      </c>
      <c r="BU58">
        <v>22.44</v>
      </c>
      <c r="BV58">
        <v>45.840000000000011</v>
      </c>
      <c r="BW58">
        <v>23.399999999999991</v>
      </c>
      <c r="BX58">
        <v>5.8499999999999979</v>
      </c>
      <c r="BY58">
        <v>9.8899999999999935</v>
      </c>
      <c r="BZ58">
        <v>1388.5800000000008</v>
      </c>
      <c r="CA58">
        <v>15.680000000000005</v>
      </c>
      <c r="CB58">
        <v>8.0900000000000016</v>
      </c>
    </row>
    <row r="59" spans="19:80">
      <c r="S59" s="46"/>
      <c r="T59" s="46"/>
      <c r="U59" s="46"/>
      <c r="V59" s="46"/>
      <c r="W59" s="46"/>
      <c r="X59" s="46"/>
      <c r="Y59" s="46"/>
      <c r="Z59" s="46"/>
      <c r="AA59" s="46"/>
      <c r="AB59" s="46"/>
      <c r="BQ59" s="45">
        <v>43683</v>
      </c>
      <c r="BR59">
        <v>22.779999999999987</v>
      </c>
      <c r="BS59">
        <v>125.86000000000001</v>
      </c>
      <c r="BT59">
        <v>9</v>
      </c>
      <c r="BU59">
        <v>82.44000000000004</v>
      </c>
      <c r="BV59">
        <v>25.540000000000003</v>
      </c>
      <c r="BW59">
        <v>73.200000000000031</v>
      </c>
      <c r="BX59">
        <v>2.1899999999999995</v>
      </c>
      <c r="BY59">
        <v>4.7099999999999973</v>
      </c>
      <c r="BZ59">
        <v>1294.2799999999995</v>
      </c>
      <c r="CA59">
        <v>12.360000000000007</v>
      </c>
      <c r="CB59">
        <v>8.0900000000000016</v>
      </c>
    </row>
    <row r="60" spans="19:80">
      <c r="S60" s="46"/>
      <c r="T60" s="46"/>
      <c r="U60" s="46"/>
      <c r="V60" s="46"/>
      <c r="W60" s="46"/>
      <c r="X60" s="46"/>
      <c r="Y60" s="46"/>
      <c r="Z60" s="46"/>
      <c r="AA60" s="46"/>
      <c r="AB60" s="46"/>
      <c r="BQ60" s="45">
        <v>43684</v>
      </c>
      <c r="BR60">
        <v>16.550000000000008</v>
      </c>
      <c r="BS60">
        <v>140.15999999999997</v>
      </c>
      <c r="BT60">
        <v>0</v>
      </c>
      <c r="BU60">
        <v>22.44</v>
      </c>
      <c r="BV60">
        <v>45.840000000000011</v>
      </c>
      <c r="BW60">
        <v>23.399999999999991</v>
      </c>
      <c r="BX60">
        <v>5.8499999999999979</v>
      </c>
      <c r="BY60">
        <v>9.8899999999999935</v>
      </c>
      <c r="BZ60">
        <v>1388.5800000000008</v>
      </c>
      <c r="CA60">
        <v>15.680000000000005</v>
      </c>
      <c r="CB60">
        <v>8.0900000000000016</v>
      </c>
    </row>
    <row r="61" spans="19:80">
      <c r="U61" s="6"/>
      <c r="BQ61" s="45">
        <v>43688</v>
      </c>
      <c r="BR61">
        <v>71.549999999999969</v>
      </c>
      <c r="BS61">
        <v>150.15999999999994</v>
      </c>
      <c r="BT61">
        <v>31.799999999999994</v>
      </c>
      <c r="BU61">
        <v>79.73</v>
      </c>
      <c r="BV61">
        <v>97.57999999999997</v>
      </c>
      <c r="BW61">
        <v>67.700000000000031</v>
      </c>
      <c r="BX61">
        <v>2.7899999999999996</v>
      </c>
      <c r="BY61">
        <v>5.2900000000000027</v>
      </c>
      <c r="BZ61">
        <v>1444.5800000000008</v>
      </c>
      <c r="CA61">
        <v>75.279999999999987</v>
      </c>
      <c r="CB61">
        <v>3.7900000000000014</v>
      </c>
    </row>
    <row r="62" spans="19:80">
      <c r="U62" s="6"/>
      <c r="BQ62" s="45">
        <v>43709</v>
      </c>
      <c r="BR62">
        <v>34.560833333333306</v>
      </c>
      <c r="BS62">
        <v>135.71833333333328</v>
      </c>
      <c r="BT62">
        <v>13.112499999999999</v>
      </c>
      <c r="BU62">
        <v>67.956041666666707</v>
      </c>
      <c r="BV62">
        <v>49.702916666666653</v>
      </c>
      <c r="BW62">
        <v>60.297916666666652</v>
      </c>
      <c r="BX62">
        <v>3.1912499999999979</v>
      </c>
      <c r="BY62">
        <v>6.0541666666666645</v>
      </c>
      <c r="BZ62">
        <v>1356.5966666666673</v>
      </c>
      <c r="CA62">
        <v>30.161666666666665</v>
      </c>
      <c r="CB62">
        <v>6.9254166666666714</v>
      </c>
    </row>
    <row r="63" spans="19:80">
      <c r="U63" s="6"/>
      <c r="BQ63" s="45">
        <v>43710</v>
      </c>
      <c r="BR63">
        <v>41.758333333333304</v>
      </c>
      <c r="BS63">
        <v>144.74333333333328</v>
      </c>
      <c r="BT63">
        <v>14.575000000000003</v>
      </c>
      <c r="BU63">
        <v>48.697916666666693</v>
      </c>
      <c r="BV63">
        <v>69.554166666666632</v>
      </c>
      <c r="BW63">
        <v>43.704166666666673</v>
      </c>
      <c r="BX63">
        <v>4.447499999999998</v>
      </c>
      <c r="BY63">
        <v>7.7816666666666636</v>
      </c>
      <c r="BZ63">
        <v>1414.2466666666676</v>
      </c>
      <c r="CA63">
        <v>42.996666666666634</v>
      </c>
      <c r="CB63">
        <v>6.1191666666666684</v>
      </c>
    </row>
    <row r="64" spans="19:80">
      <c r="U64" s="6"/>
      <c r="BQ64" s="45">
        <v>43711</v>
      </c>
      <c r="BR64">
        <v>46.341666666666661</v>
      </c>
      <c r="BS64">
        <v>145.57666666666663</v>
      </c>
      <c r="BT64">
        <v>17.225000000000005</v>
      </c>
      <c r="BU64">
        <v>53.472083333333337</v>
      </c>
      <c r="BV64">
        <v>73.865833333333327</v>
      </c>
      <c r="BW64">
        <v>47.39583333333335</v>
      </c>
      <c r="BX64">
        <v>4.1925000000000034</v>
      </c>
      <c r="BY64">
        <v>7.3983333333333308</v>
      </c>
      <c r="BZ64">
        <v>1418.9133333333341</v>
      </c>
      <c r="CA64">
        <v>47.963333333333331</v>
      </c>
      <c r="CB64">
        <v>5.7608333333333368</v>
      </c>
    </row>
    <row r="65" spans="21:80">
      <c r="U65" s="6"/>
      <c r="BQ65" s="45">
        <v>43713</v>
      </c>
      <c r="BR65">
        <v>16.550000000000008</v>
      </c>
      <c r="BS65">
        <v>140.15999999999997</v>
      </c>
      <c r="BT65">
        <v>0</v>
      </c>
      <c r="BU65">
        <v>22.44</v>
      </c>
      <c r="BV65">
        <v>45.840000000000011</v>
      </c>
      <c r="BW65">
        <v>23.399999999999991</v>
      </c>
      <c r="BX65">
        <v>5.8499999999999979</v>
      </c>
      <c r="BY65">
        <v>9.8899999999999935</v>
      </c>
      <c r="BZ65">
        <v>1388.5800000000008</v>
      </c>
      <c r="CA65">
        <v>15.680000000000005</v>
      </c>
      <c r="CB65">
        <v>8.0900000000000016</v>
      </c>
    </row>
    <row r="66" spans="21:80">
      <c r="U66" s="6"/>
      <c r="BQ66" s="45">
        <v>43714</v>
      </c>
      <c r="BR66">
        <v>22.779999999999987</v>
      </c>
      <c r="BS66">
        <v>125.86000000000001</v>
      </c>
      <c r="BT66">
        <v>9</v>
      </c>
      <c r="BU66">
        <v>82.44000000000004</v>
      </c>
      <c r="BV66">
        <v>25.540000000000003</v>
      </c>
      <c r="BW66">
        <v>73.200000000000031</v>
      </c>
      <c r="BX66">
        <v>2.1899999999999995</v>
      </c>
      <c r="BY66">
        <v>4.7099999999999973</v>
      </c>
      <c r="BZ66">
        <v>1294.2799999999995</v>
      </c>
      <c r="CA66">
        <v>12.360000000000007</v>
      </c>
      <c r="CB66">
        <v>8.0900000000000016</v>
      </c>
    </row>
    <row r="67" spans="21:80">
      <c r="U67" s="6"/>
      <c r="BQ67" s="45">
        <v>43715</v>
      </c>
      <c r="BR67">
        <v>16.550000000000008</v>
      </c>
      <c r="BS67">
        <v>140.15999999999997</v>
      </c>
      <c r="BT67">
        <v>0</v>
      </c>
      <c r="BU67">
        <v>22.44</v>
      </c>
      <c r="BV67">
        <v>45.840000000000011</v>
      </c>
      <c r="BW67">
        <v>23.399999999999991</v>
      </c>
      <c r="BX67">
        <v>5.8499999999999979</v>
      </c>
      <c r="BY67">
        <v>9.8899999999999935</v>
      </c>
      <c r="BZ67">
        <v>1388.5800000000008</v>
      </c>
      <c r="CA67">
        <v>15.680000000000005</v>
      </c>
      <c r="CB67">
        <v>8.0900000000000016</v>
      </c>
    </row>
    <row r="68" spans="21:80">
      <c r="BP68" s="45">
        <v>43719</v>
      </c>
      <c r="BQ68">
        <v>41.758333333333304</v>
      </c>
      <c r="BR68">
        <v>144.74333333333328</v>
      </c>
      <c r="BS68">
        <v>14.575000000000003</v>
      </c>
      <c r="BT68">
        <v>48.697916666666693</v>
      </c>
      <c r="BU68">
        <v>69.554166666666632</v>
      </c>
      <c r="BV68">
        <v>43.704166666666673</v>
      </c>
      <c r="BW68">
        <v>4.447499999999998</v>
      </c>
      <c r="BX68">
        <v>7.7816666666666636</v>
      </c>
      <c r="BY68">
        <v>1414.2466666666676</v>
      </c>
      <c r="BZ68">
        <v>42.996666666666634</v>
      </c>
      <c r="CA68">
        <v>6.1191666666666684</v>
      </c>
    </row>
  </sheetData>
  <mergeCells count="35">
    <mergeCell ref="AA4:AB4"/>
    <mergeCell ref="AA1:AB1"/>
    <mergeCell ref="AA2:AB2"/>
    <mergeCell ref="AA3:AB3"/>
    <mergeCell ref="C3:N3"/>
    <mergeCell ref="O3:P3"/>
    <mergeCell ref="C4:N4"/>
    <mergeCell ref="O4:P4"/>
    <mergeCell ref="C1:N1"/>
    <mergeCell ref="O1:P1"/>
    <mergeCell ref="C2:N2"/>
    <mergeCell ref="O2:P2"/>
    <mergeCell ref="I6:K6"/>
    <mergeCell ref="L6:N6"/>
    <mergeCell ref="D8:E8"/>
    <mergeCell ref="D9:E9"/>
    <mergeCell ref="F8:G8"/>
    <mergeCell ref="F9:G9"/>
    <mergeCell ref="H8:I8"/>
    <mergeCell ref="H9:I9"/>
    <mergeCell ref="J8:K8"/>
    <mergeCell ref="J9:K9"/>
    <mergeCell ref="M8:N8"/>
    <mergeCell ref="M9:N9"/>
    <mergeCell ref="F6:H6"/>
    <mergeCell ref="C6:E6"/>
    <mergeCell ref="A25:Q25"/>
    <mergeCell ref="A26:Q26"/>
    <mergeCell ref="P10:P11"/>
    <mergeCell ref="Q10:Q11"/>
    <mergeCell ref="A10:A11"/>
    <mergeCell ref="O10:O11"/>
    <mergeCell ref="B10:B11"/>
    <mergeCell ref="C10:C11"/>
    <mergeCell ref="L10:L11"/>
  </mergeCells>
  <pageMargins left="0.19685039370078741" right="0.19685039370078741" top="0.19685039370078741" bottom="0.19685039370078741" header="0" footer="0"/>
  <pageSetup paperSize="9" orientation="landscape" horizontalDpi="4294967295" verticalDpi="4294967295" r:id="rId1"/>
  <drawing r:id="rId2"/>
  <legacyDrawing r:id="rId3"/>
  <controls>
    <control shapeId="3085" r:id="rId4" name="xlsxSpecific"/>
    <control shapeId="3084" r:id="rId5" name="pdfSpecific"/>
    <control shapeId="3083" r:id="rId6" name="ReportBtnSpecific"/>
    <control shapeId="3077" r:id="rId7" name="CommandButton1"/>
    <control shapeId="3076" r:id="rId8" name="CheckBox2"/>
    <control shapeId="3075" r:id="rId9" name="CheckBox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Q26"/>
  <sheetViews>
    <sheetView workbookViewId="0">
      <selection activeCell="F6" sqref="F6:H6"/>
    </sheetView>
  </sheetViews>
  <sheetFormatPr defaultRowHeight="15"/>
  <cols>
    <col min="1" max="1" width="15.140625" customWidth="1"/>
    <col min="2" max="17" width="8.28515625" customWidth="1"/>
  </cols>
  <sheetData>
    <row r="1" spans="1:17" ht="17.25" thickTop="1">
      <c r="A1" s="37"/>
      <c r="B1" s="38"/>
      <c r="C1" s="115" t="s">
        <v>50</v>
      </c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7"/>
      <c r="O1" s="123" t="s">
        <v>51</v>
      </c>
      <c r="P1" s="124"/>
      <c r="Q1" s="42"/>
    </row>
    <row r="2" spans="1:17" ht="16.5">
      <c r="A2" s="39"/>
      <c r="B2" s="35"/>
      <c r="C2" s="118" t="s">
        <v>47</v>
      </c>
      <c r="D2" s="119"/>
      <c r="E2" s="119"/>
      <c r="F2" s="119"/>
      <c r="G2" s="119"/>
      <c r="H2" s="119"/>
      <c r="I2" s="119"/>
      <c r="J2" s="119"/>
      <c r="K2" s="119"/>
      <c r="L2" s="119"/>
      <c r="M2" s="119"/>
      <c r="N2" s="120"/>
      <c r="O2" s="125" t="s">
        <v>52</v>
      </c>
      <c r="P2" s="125"/>
      <c r="Q2" s="43"/>
    </row>
    <row r="3" spans="1:17" ht="16.5">
      <c r="A3" s="39"/>
      <c r="B3" s="35"/>
      <c r="C3" s="118" t="s">
        <v>48</v>
      </c>
      <c r="D3" s="119"/>
      <c r="E3" s="119"/>
      <c r="F3" s="119"/>
      <c r="G3" s="119"/>
      <c r="H3" s="119"/>
      <c r="I3" s="119"/>
      <c r="J3" s="119"/>
      <c r="K3" s="119"/>
      <c r="L3" s="119"/>
      <c r="M3" s="119"/>
      <c r="N3" s="120"/>
      <c r="O3" s="125" t="s">
        <v>53</v>
      </c>
      <c r="P3" s="125"/>
      <c r="Q3" s="43"/>
    </row>
    <row r="4" spans="1:17" ht="17.25" thickBot="1">
      <c r="A4" s="40"/>
      <c r="B4" s="41"/>
      <c r="C4" s="121" t="s">
        <v>49</v>
      </c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6" t="s">
        <v>54</v>
      </c>
      <c r="P4" s="126"/>
      <c r="Q4" s="44"/>
    </row>
    <row r="5" spans="1:17">
      <c r="A5" s="34"/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6"/>
    </row>
    <row r="6" spans="1:17" ht="16.5">
      <c r="A6" s="83"/>
      <c r="B6" s="87"/>
      <c r="C6" s="142" t="s">
        <v>56</v>
      </c>
      <c r="D6" s="142"/>
      <c r="E6" s="142"/>
      <c r="F6" s="143"/>
      <c r="G6" s="144"/>
      <c r="H6" s="144"/>
      <c r="I6" s="142" t="s">
        <v>57</v>
      </c>
      <c r="J6" s="142"/>
      <c r="K6" s="142"/>
      <c r="L6" s="143"/>
      <c r="M6" s="144"/>
      <c r="N6" s="144"/>
      <c r="O6" s="88"/>
      <c r="P6" s="89" t="s">
        <v>1</v>
      </c>
      <c r="Q6" s="90">
        <v>0.95</v>
      </c>
    </row>
    <row r="7" spans="1:17" ht="16.5">
      <c r="A7" s="84"/>
      <c r="B7" s="91" t="s">
        <v>2</v>
      </c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</row>
    <row r="8" spans="1:17" ht="17.25">
      <c r="A8" s="85"/>
      <c r="B8" s="13">
        <v>1</v>
      </c>
      <c r="C8" s="13">
        <v>2</v>
      </c>
      <c r="D8" s="98">
        <v>3</v>
      </c>
      <c r="E8" s="99"/>
      <c r="F8" s="98">
        <v>4</v>
      </c>
      <c r="G8" s="99"/>
      <c r="H8" s="98">
        <v>5</v>
      </c>
      <c r="I8" s="99"/>
      <c r="J8" s="98">
        <v>6</v>
      </c>
      <c r="K8" s="99"/>
      <c r="L8" s="13">
        <v>7</v>
      </c>
      <c r="M8" s="98">
        <v>8</v>
      </c>
      <c r="N8" s="99"/>
      <c r="O8" s="13">
        <v>9</v>
      </c>
      <c r="P8" s="13">
        <v>10</v>
      </c>
      <c r="Q8" s="13">
        <v>11</v>
      </c>
    </row>
    <row r="9" spans="1:17" ht="21">
      <c r="A9" s="86"/>
      <c r="B9" s="14" t="s">
        <v>3</v>
      </c>
      <c r="C9" s="14" t="s">
        <v>4</v>
      </c>
      <c r="D9" s="100" t="s">
        <v>5</v>
      </c>
      <c r="E9" s="101"/>
      <c r="F9" s="100" t="s">
        <v>6</v>
      </c>
      <c r="G9" s="101"/>
      <c r="H9" s="100" t="s">
        <v>7</v>
      </c>
      <c r="I9" s="101"/>
      <c r="J9" s="100" t="s">
        <v>8</v>
      </c>
      <c r="K9" s="101"/>
      <c r="L9" s="14" t="s">
        <v>9</v>
      </c>
      <c r="M9" s="100" t="s">
        <v>10</v>
      </c>
      <c r="N9" s="101"/>
      <c r="O9" s="14" t="s">
        <v>11</v>
      </c>
      <c r="P9" s="14" t="s">
        <v>12</v>
      </c>
      <c r="Q9" s="14" t="s">
        <v>13</v>
      </c>
    </row>
    <row r="10" spans="1:17">
      <c r="A10" s="140" t="s">
        <v>60</v>
      </c>
      <c r="B10" s="102" t="s">
        <v>14</v>
      </c>
      <c r="C10" s="102" t="s">
        <v>15</v>
      </c>
      <c r="D10" s="71" t="s">
        <v>58</v>
      </c>
      <c r="E10" s="94" t="s">
        <v>59</v>
      </c>
      <c r="F10" s="71" t="s">
        <v>58</v>
      </c>
      <c r="G10" s="94" t="s">
        <v>59</v>
      </c>
      <c r="H10" s="71" t="s">
        <v>58</v>
      </c>
      <c r="I10" s="94" t="s">
        <v>59</v>
      </c>
      <c r="J10" s="71" t="s">
        <v>58</v>
      </c>
      <c r="K10" s="94" t="s">
        <v>59</v>
      </c>
      <c r="L10" s="102" t="s">
        <v>14</v>
      </c>
      <c r="M10" s="71" t="s">
        <v>58</v>
      </c>
      <c r="N10" s="94" t="s">
        <v>59</v>
      </c>
      <c r="O10" s="102" t="s">
        <v>16</v>
      </c>
      <c r="P10" s="102" t="s">
        <v>17</v>
      </c>
      <c r="Q10" s="102" t="s">
        <v>14</v>
      </c>
    </row>
    <row r="11" spans="1:17">
      <c r="A11" s="141"/>
      <c r="B11" s="103"/>
      <c r="C11" s="103"/>
      <c r="D11" s="93" t="s">
        <v>15</v>
      </c>
      <c r="E11" s="93" t="s">
        <v>15</v>
      </c>
      <c r="F11" s="93" t="s">
        <v>15</v>
      </c>
      <c r="G11" s="93" t="s">
        <v>15</v>
      </c>
      <c r="H11" s="93" t="s">
        <v>15</v>
      </c>
      <c r="I11" s="93" t="s">
        <v>15</v>
      </c>
      <c r="J11" s="93" t="s">
        <v>15</v>
      </c>
      <c r="K11" s="93" t="s">
        <v>15</v>
      </c>
      <c r="L11" s="103"/>
      <c r="M11" s="93" t="s">
        <v>15</v>
      </c>
      <c r="N11" s="93" t="s">
        <v>15</v>
      </c>
      <c r="O11" s="103"/>
      <c r="P11" s="103"/>
      <c r="Q11" s="103"/>
    </row>
    <row r="12" spans="1:17">
      <c r="A12" s="95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</row>
    <row r="13" spans="1:17">
      <c r="A13" s="95"/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</row>
    <row r="14" spans="1:17">
      <c r="A14" s="95"/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</row>
    <row r="15" spans="1:17">
      <c r="A15" s="95"/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</row>
    <row r="16" spans="1:17">
      <c r="A16" s="95"/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</row>
    <row r="17" spans="1:17">
      <c r="A17" s="95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</row>
    <row r="18" spans="1:17">
      <c r="A18" s="95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17">
      <c r="A19" s="95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</row>
    <row r="20" spans="1:17">
      <c r="A20" s="95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</row>
    <row r="21" spans="1:17" s="6" customFormat="1">
      <c r="A21" s="95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</row>
    <row r="22" spans="1:17">
      <c r="A22" s="65" t="s">
        <v>41</v>
      </c>
      <c r="B22" s="20">
        <f>IFERROR(MAX(B12:B21),0)</f>
        <v>0</v>
      </c>
      <c r="C22" s="20">
        <f>IFERROR(MAX(C12:C21),0)</f>
        <v>0</v>
      </c>
      <c r="D22" s="20">
        <f>IFERROR(MAX(D12:D21),0)</f>
        <v>0</v>
      </c>
      <c r="E22" s="20">
        <f>IFERROR(MAX(E12:E21),0)</f>
        <v>0</v>
      </c>
      <c r="F22" s="20">
        <f>IFERROR(MAX(F12:F21),0)</f>
        <v>0</v>
      </c>
      <c r="G22" s="20">
        <f>IFERROR(MAX(G12:G21),0)</f>
        <v>0</v>
      </c>
      <c r="H22" s="20">
        <f>IFERROR(MAX(H12:H21),0)</f>
        <v>0</v>
      </c>
      <c r="I22" s="20">
        <f>IFERROR(MAX(I12:I21),0)</f>
        <v>0</v>
      </c>
      <c r="J22" s="20">
        <f>IFERROR(MAX(J12:J21),0)</f>
        <v>0</v>
      </c>
      <c r="K22" s="20">
        <f>IFERROR(MAX(K12:K21),0)</f>
        <v>0</v>
      </c>
      <c r="L22" s="20">
        <f>IFERROR(MAX(L12:L21),0)</f>
        <v>0</v>
      </c>
      <c r="M22" s="20">
        <f>IFERROR(MAX(M12:M21),0)</f>
        <v>0</v>
      </c>
      <c r="N22" s="20">
        <f>IFERROR(MAX(N12:N21),0)</f>
        <v>0</v>
      </c>
      <c r="O22" s="20">
        <f>IFERROR(MAX(O12:O21),0)</f>
        <v>0</v>
      </c>
      <c r="P22" s="20">
        <f>IFERROR(MAX(P12:P21),0)</f>
        <v>0</v>
      </c>
      <c r="Q22" s="20">
        <f>IFERROR(MAX(Q12:Q21),0)</f>
        <v>0</v>
      </c>
    </row>
    <row r="23" spans="1:17">
      <c r="A23" s="19" t="s">
        <v>42</v>
      </c>
      <c r="B23" s="21">
        <f>IFERROR(MIN(B12:B21),0)</f>
        <v>0</v>
      </c>
      <c r="C23" s="21">
        <f>IFERROR(MIN(C12:C21),0)</f>
        <v>0</v>
      </c>
      <c r="D23" s="21">
        <f>IFERROR(MIN(D12:D21),0)</f>
        <v>0</v>
      </c>
      <c r="E23" s="21">
        <f>IFERROR(MIN(E12:E21),0)</f>
        <v>0</v>
      </c>
      <c r="F23" s="21">
        <f>IFERROR(MIN(F12:F21),0)</f>
        <v>0</v>
      </c>
      <c r="G23" s="21">
        <f>IFERROR(MIN(G12:G21),0)</f>
        <v>0</v>
      </c>
      <c r="H23" s="21">
        <f>IFERROR(MIN(H12:H21),0)</f>
        <v>0</v>
      </c>
      <c r="I23" s="21">
        <f>IFERROR(MIN(I12:I21),0)</f>
        <v>0</v>
      </c>
      <c r="J23" s="21">
        <f>IFERROR(MIN(J12:J21),0)</f>
        <v>0</v>
      </c>
      <c r="K23" s="21">
        <f>IFERROR(MIN(K12:K21),0)</f>
        <v>0</v>
      </c>
      <c r="L23" s="21">
        <f>IFERROR(MIN(L12:L21),0)</f>
        <v>0</v>
      </c>
      <c r="M23" s="21">
        <f>IFERROR(MIN(M12:M21),0)</f>
        <v>0</v>
      </c>
      <c r="N23" s="21">
        <f>IFERROR(MIN(N12:N21),0)</f>
        <v>0</v>
      </c>
      <c r="O23" s="21">
        <f>IFERROR(MIN(O12:O21),0)</f>
        <v>0</v>
      </c>
      <c r="P23" s="21">
        <f>IFERROR(MIN(P12:P21),0)</f>
        <v>0</v>
      </c>
      <c r="Q23" s="21">
        <f>IFERROR(MIN(Q12:Q21),0)</f>
        <v>0</v>
      </c>
    </row>
    <row r="24" spans="1:17">
      <c r="A24" s="22" t="s">
        <v>43</v>
      </c>
      <c r="B24" s="23">
        <f>IFERROR(AVERAGE(B12:B21),0)</f>
        <v>0</v>
      </c>
      <c r="C24" s="23">
        <f>IFERROR(AVERAGE(C12:C21),0)</f>
        <v>0</v>
      </c>
      <c r="D24" s="23">
        <f>IFERROR(AVERAGE(D12:D21),0)</f>
        <v>0</v>
      </c>
      <c r="E24" s="23">
        <f>IFERROR(AVERAGE(E12:E21),0)</f>
        <v>0</v>
      </c>
      <c r="F24" s="23">
        <f>IFERROR(AVERAGE(F12:F21),0)</f>
        <v>0</v>
      </c>
      <c r="G24" s="23">
        <f>IFERROR(AVERAGE(G12:G21),0)</f>
        <v>0</v>
      </c>
      <c r="H24" s="23">
        <f>IFERROR(AVERAGE(H12:H21),0)</f>
        <v>0</v>
      </c>
      <c r="I24" s="23">
        <f>IFERROR(AVERAGE(I12:I21),0)</f>
        <v>0</v>
      </c>
      <c r="J24" s="23">
        <f>IFERROR(AVERAGE(J12:J21),0)</f>
        <v>0</v>
      </c>
      <c r="K24" s="23">
        <f>IFERROR(AVERAGE(K12:K21),0)</f>
        <v>0</v>
      </c>
      <c r="L24" s="23">
        <f>IFERROR(AVERAGE(L12:L21),0)</f>
        <v>0</v>
      </c>
      <c r="M24" s="23">
        <f>IFERROR(AVERAGE(M12:M21),0)</f>
        <v>0</v>
      </c>
      <c r="N24" s="23">
        <f>IFERROR(AVERAGE(N12:N21),0)</f>
        <v>0</v>
      </c>
      <c r="O24" s="23">
        <f>IFERROR(AVERAGE(O12:O21),0)</f>
        <v>0</v>
      </c>
      <c r="P24" s="23">
        <f>IFERROR(AVERAGE(P12:P21),0)</f>
        <v>0</v>
      </c>
      <c r="Q24" s="23">
        <f>IFERROR(AVERAGE(Q12:Q21),0)</f>
        <v>0</v>
      </c>
    </row>
    <row r="25" spans="1:17" ht="16.5">
      <c r="A25" s="113" t="s">
        <v>44</v>
      </c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</row>
    <row r="26" spans="1:17" ht="16.5">
      <c r="A26" s="113" t="s">
        <v>45</v>
      </c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</row>
  </sheetData>
  <mergeCells count="31">
    <mergeCell ref="Q10:Q11"/>
    <mergeCell ref="A10:A11"/>
    <mergeCell ref="B10:B11"/>
    <mergeCell ref="C10:C11"/>
    <mergeCell ref="L10:L11"/>
    <mergeCell ref="O10:O11"/>
    <mergeCell ref="P10:P11"/>
    <mergeCell ref="H9:I9"/>
    <mergeCell ref="J9:K9"/>
    <mergeCell ref="M9:N9"/>
    <mergeCell ref="D8:E8"/>
    <mergeCell ref="F8:G8"/>
    <mergeCell ref="H8:I8"/>
    <mergeCell ref="J8:K8"/>
    <mergeCell ref="M8:N8"/>
    <mergeCell ref="A25:Q25"/>
    <mergeCell ref="A26:Q26"/>
    <mergeCell ref="C1:N1"/>
    <mergeCell ref="O1:P1"/>
    <mergeCell ref="C2:N2"/>
    <mergeCell ref="O2:P2"/>
    <mergeCell ref="C3:N3"/>
    <mergeCell ref="O3:P3"/>
    <mergeCell ref="C4:N4"/>
    <mergeCell ref="O4:P4"/>
    <mergeCell ref="C6:E6"/>
    <mergeCell ref="F6:H6"/>
    <mergeCell ref="I6:K6"/>
    <mergeCell ref="L6:N6"/>
    <mergeCell ref="D9:E9"/>
    <mergeCell ref="F9:G9"/>
  </mergeCell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control shapeId="4099" r:id="rId4" name="MinuteXLSXCheckBox"/>
    <control shapeId="4098" r:id="rId5" name="MinutePDFCheckBox"/>
    <control shapeId="4097" r:id="rId6" name="CreateBt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Daily_Report</vt:lpstr>
      <vt:lpstr>Monthly_Report</vt:lpstr>
      <vt:lpstr>Specific_Date_Report</vt:lpstr>
      <vt:lpstr>Specific_Minute_Report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Taufiqurrahman</dc:creator>
  <cp:lastModifiedBy>Taufiqurrahman</cp:lastModifiedBy>
  <cp:lastPrinted>2020-03-17T05:19:43Z</cp:lastPrinted>
  <dcterms:created xsi:type="dcterms:W3CDTF">2019-10-18T08:32:19Z</dcterms:created>
  <dcterms:modified xsi:type="dcterms:W3CDTF">2020-04-05T12:29:36Z</dcterms:modified>
</cp:coreProperties>
</file>